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3.xml" ContentType="application/vnd.openxmlformats-officedocument.themeOverrid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donaldlundgren/Downloads/"/>
    </mc:Choice>
  </mc:AlternateContent>
  <xr:revisionPtr revIDLastSave="0" documentId="8_{BC2DAEFD-36D2-1149-A68C-E65397B49AD5}" xr6:coauthVersionLast="47" xr6:coauthVersionMax="47" xr10:uidLastSave="{00000000-0000-0000-0000-000000000000}"/>
  <bookViews>
    <workbookView xWindow="4440" yWindow="760" windowWidth="23260" windowHeight="12460" tabRatio="1000" activeTab="4" xr2:uid="{3A12FCF3-73CB-4392-AAD8-1D0EA9144B4E}"/>
  </bookViews>
  <sheets>
    <sheet name="Palmetto Dashboard" sheetId="32" state="hidden" r:id="rId1"/>
    <sheet name="AR Dashboard" sheetId="33" state="hidden" r:id="rId2"/>
    <sheet name="AR Aging" sheetId="4" r:id="rId3"/>
    <sheet name="Cash Collected" sheetId="26" r:id="rId4"/>
    <sheet name="Collections by Payer Type" sheetId="27" r:id="rId5"/>
  </sheets>
  <definedNames>
    <definedName name="_xlnm._FilterDatabase" localSheetId="1" hidden="1">'AR Dashboard'!$A$15:$D$15</definedName>
    <definedName name="_xlnm.Print_Area" localSheetId="1">'AR Dashboard'!$A$1:$G$74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7" i="26" l="1"/>
  <c r="AP6" i="26"/>
  <c r="AP5" i="26"/>
  <c r="AO14" i="26"/>
  <c r="AO15" i="26"/>
  <c r="AO16" i="26"/>
  <c r="AO17" i="26"/>
  <c r="AN14" i="26" l="1"/>
  <c r="AN15" i="26"/>
  <c r="AN16" i="26"/>
  <c r="AN17" i="26"/>
  <c r="AM14" i="26"/>
  <c r="AM15" i="26"/>
  <c r="AM16" i="26"/>
  <c r="AM17" i="26"/>
  <c r="AL14" i="26" l="1"/>
  <c r="AL15" i="26"/>
  <c r="AL16" i="26"/>
  <c r="AL17" i="26"/>
  <c r="AK14" i="26" l="1"/>
  <c r="AK15" i="26"/>
  <c r="AK16" i="26"/>
  <c r="AK17" i="26"/>
  <c r="AJ14" i="26"/>
  <c r="AJ15" i="26"/>
  <c r="AJ16" i="26"/>
  <c r="AJ17" i="26"/>
  <c r="K4" i="4"/>
  <c r="AI17" i="26"/>
  <c r="AI16" i="26"/>
  <c r="AI15" i="26"/>
  <c r="AI14" i="26"/>
  <c r="AH17" i="26" l="1"/>
  <c r="AH16" i="26"/>
  <c r="AH15" i="26"/>
  <c r="AH14" i="26"/>
  <c r="B5" i="27"/>
  <c r="B4" i="27"/>
  <c r="B6" i="27"/>
  <c r="K8" i="4"/>
  <c r="AG14" i="26"/>
  <c r="AG15" i="26"/>
  <c r="AG16" i="26"/>
  <c r="AG17" i="26"/>
  <c r="AF14" i="26" l="1"/>
  <c r="AF15" i="26"/>
  <c r="AF16" i="26"/>
  <c r="AF17" i="26"/>
  <c r="AB15" i="26" l="1"/>
  <c r="AB17" i="26"/>
  <c r="AC14" i="26"/>
  <c r="AD14" i="26"/>
  <c r="AE14" i="26"/>
  <c r="AC15" i="26"/>
  <c r="AD15" i="26"/>
  <c r="AE15" i="26"/>
  <c r="AC16" i="26"/>
  <c r="AD16" i="26"/>
  <c r="AE16" i="26"/>
  <c r="AC17" i="26"/>
  <c r="AD17" i="26"/>
  <c r="AE17" i="26"/>
  <c r="AB16" i="26"/>
  <c r="AB14" i="26"/>
  <c r="C12" i="4"/>
  <c r="D12" i="4"/>
  <c r="E12" i="4"/>
  <c r="F12" i="4"/>
  <c r="G12" i="4"/>
  <c r="H12" i="4"/>
  <c r="I12" i="4"/>
  <c r="J12" i="4"/>
  <c r="B12" i="4"/>
  <c r="K12" i="4" l="1"/>
  <c r="C9" i="4"/>
  <c r="J9" i="4"/>
  <c r="B9" i="4"/>
  <c r="I9" i="4"/>
  <c r="F9" i="4"/>
  <c r="D9" i="4"/>
  <c r="H9" i="4"/>
  <c r="G9" i="4"/>
  <c r="E9" i="4"/>
  <c r="AA15" i="26"/>
  <c r="AA16" i="26"/>
  <c r="AA17" i="26"/>
  <c r="AA14" i="26"/>
  <c r="C11" i="4" l="1"/>
  <c r="D11" i="4"/>
  <c r="E11" i="4"/>
  <c r="F11" i="4"/>
  <c r="G11" i="4"/>
  <c r="H11" i="4"/>
  <c r="I11" i="4"/>
  <c r="J11" i="4"/>
  <c r="B11" i="4"/>
  <c r="J7" i="4" l="1"/>
  <c r="L4" i="26" l="1"/>
  <c r="K4" i="26" l="1"/>
  <c r="C7" i="4"/>
  <c r="D7" i="4"/>
  <c r="E7" i="4"/>
  <c r="F7" i="4"/>
  <c r="G7" i="4"/>
  <c r="H7" i="4"/>
  <c r="I7" i="4"/>
  <c r="K7" i="4"/>
  <c r="K11" i="4" s="1"/>
  <c r="B7" i="4"/>
  <c r="J4" i="26" l="1"/>
  <c r="I4" i="26" l="1"/>
  <c r="H4" i="26" l="1"/>
  <c r="G4" i="26" l="1"/>
  <c r="T24" i="32"/>
  <c r="T23" i="32"/>
  <c r="T17" i="32"/>
  <c r="T15" i="32"/>
  <c r="T14" i="32"/>
  <c r="T8" i="32"/>
  <c r="S7" i="32"/>
  <c r="U19" i="32"/>
  <c r="T25" i="32" l="1"/>
  <c r="T18" i="32"/>
  <c r="T21" i="32" s="1"/>
  <c r="T11" i="32"/>
  <c r="F4" i="26" l="1"/>
  <c r="S17" i="32"/>
  <c r="S15" i="32"/>
  <c r="S24" i="32"/>
  <c r="S23" i="32"/>
  <c r="S14" i="32"/>
  <c r="R15" i="32"/>
  <c r="Q14" i="32"/>
  <c r="R4" i="32"/>
  <c r="R14" i="32" s="1"/>
  <c r="R7" i="32"/>
  <c r="R16" i="32"/>
  <c r="R24" i="32"/>
  <c r="R23" i="32"/>
  <c r="S25" i="32" l="1"/>
  <c r="S18" i="32"/>
  <c r="T19" i="32" s="1"/>
  <c r="S8" i="32"/>
  <c r="T9" i="32" s="1"/>
  <c r="R8" i="32"/>
  <c r="R25" i="32"/>
  <c r="R17" i="32"/>
  <c r="R18" i="32" s="1"/>
  <c r="S21" i="32" l="1"/>
  <c r="S19" i="32"/>
  <c r="R21" i="32"/>
  <c r="S9" i="32"/>
  <c r="S11" i="32"/>
  <c r="R11" i="32"/>
  <c r="E4" i="26" l="1"/>
  <c r="C16" i="33" l="1"/>
  <c r="D16" i="33" s="1"/>
  <c r="D7" i="33"/>
  <c r="B9" i="33"/>
  <c r="B8" i="33"/>
  <c r="D8" i="33" s="1"/>
  <c r="C55" i="33"/>
  <c r="B55" i="33"/>
  <c r="D54" i="33"/>
  <c r="D53" i="33"/>
  <c r="D52" i="33"/>
  <c r="C47" i="33"/>
  <c r="B47" i="33"/>
  <c r="D46" i="33"/>
  <c r="D45" i="33"/>
  <c r="D44" i="33"/>
  <c r="C37" i="33"/>
  <c r="B37" i="33"/>
  <c r="D36" i="33"/>
  <c r="D35" i="33"/>
  <c r="D34" i="33"/>
  <c r="C29" i="33"/>
  <c r="B29" i="33"/>
  <c r="D28" i="33"/>
  <c r="D27" i="33"/>
  <c r="D26" i="33"/>
  <c r="B19" i="33"/>
  <c r="D18" i="33"/>
  <c r="D17" i="33"/>
  <c r="C11" i="33"/>
  <c r="D10" i="33"/>
  <c r="D6" i="33"/>
  <c r="D5" i="33"/>
  <c r="C19" i="33" l="1"/>
  <c r="C21" i="33" s="1"/>
  <c r="C39" i="33"/>
  <c r="B57" i="33"/>
  <c r="C57" i="33"/>
  <c r="B39" i="33"/>
  <c r="D55" i="33"/>
  <c r="B11" i="33"/>
  <c r="B21" i="33" s="1"/>
  <c r="D9" i="33"/>
  <c r="D11" i="33" s="1"/>
  <c r="E45" i="33" s="1"/>
  <c r="D47" i="33"/>
  <c r="D19" i="33"/>
  <c r="D29" i="33"/>
  <c r="D37" i="33"/>
  <c r="E52" i="33" s="1"/>
  <c r="D57" i="33" l="1"/>
  <c r="B61" i="33"/>
  <c r="C61" i="33"/>
  <c r="E36" i="33"/>
  <c r="D39" i="33"/>
  <c r="E28" i="33" s="1"/>
  <c r="E53" i="33"/>
  <c r="E54" i="33"/>
  <c r="E35" i="33"/>
  <c r="D21" i="33"/>
  <c r="E46" i="33"/>
  <c r="E44" i="33"/>
  <c r="E26" i="33" l="1"/>
  <c r="D61" i="33"/>
  <c r="E27" i="33"/>
  <c r="E34" i="33"/>
  <c r="E9" i="33"/>
  <c r="E18" i="33"/>
  <c r="E17" i="33"/>
  <c r="E8" i="33"/>
  <c r="E5" i="33"/>
  <c r="E16" i="33"/>
  <c r="E10" i="33"/>
  <c r="E7" i="33"/>
  <c r="E6" i="33"/>
  <c r="Q24" i="32"/>
  <c r="Q23" i="32"/>
  <c r="Q20" i="32"/>
  <c r="Q17" i="32"/>
  <c r="P17" i="32"/>
  <c r="O17" i="32"/>
  <c r="N17" i="32"/>
  <c r="L17" i="32"/>
  <c r="K17" i="32"/>
  <c r="I17" i="32"/>
  <c r="H17" i="32"/>
  <c r="G17" i="32"/>
  <c r="F17" i="32"/>
  <c r="E17" i="32"/>
  <c r="D17" i="32"/>
  <c r="C17" i="32"/>
  <c r="Q15" i="32"/>
  <c r="M15" i="32"/>
  <c r="H15" i="32"/>
  <c r="G15" i="32"/>
  <c r="F15" i="32"/>
  <c r="E15" i="32"/>
  <c r="D15" i="32"/>
  <c r="C15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L13" i="32"/>
  <c r="H13" i="32"/>
  <c r="I13" i="32" s="1"/>
  <c r="J13" i="32" s="1"/>
  <c r="D13" i="32"/>
  <c r="E13" i="32" s="1"/>
  <c r="F13" i="32" s="1"/>
  <c r="Q8" i="32"/>
  <c r="R9" i="32" s="1"/>
  <c r="M8" i="32"/>
  <c r="H8" i="32"/>
  <c r="G8" i="32"/>
  <c r="F8" i="32"/>
  <c r="E8" i="32"/>
  <c r="D8" i="32"/>
  <c r="C8" i="32"/>
  <c r="M7" i="32"/>
  <c r="M17" i="32" s="1"/>
  <c r="J7" i="32"/>
  <c r="J17" i="32" s="1"/>
  <c r="O6" i="32"/>
  <c r="P5" i="32"/>
  <c r="P15" i="32" s="1"/>
  <c r="O5" i="32"/>
  <c r="O15" i="32" s="1"/>
  <c r="N5" i="32"/>
  <c r="N15" i="32" s="1"/>
  <c r="L5" i="32"/>
  <c r="L8" i="32" s="1"/>
  <c r="K5" i="32"/>
  <c r="K8" i="32" s="1"/>
  <c r="J5" i="32"/>
  <c r="J8" i="32" s="1"/>
  <c r="I5" i="32"/>
  <c r="I8" i="32" s="1"/>
  <c r="L3" i="32"/>
  <c r="D3" i="32"/>
  <c r="E3" i="32" s="1"/>
  <c r="F3" i="32" s="1"/>
  <c r="G3" i="32" s="1"/>
  <c r="H3" i="32" s="1"/>
  <c r="I3" i="32" s="1"/>
  <c r="J3" i="32" s="1"/>
  <c r="D4" i="26"/>
  <c r="C4" i="26"/>
  <c r="B4" i="26"/>
  <c r="Q11" i="32" l="1"/>
  <c r="Q25" i="32"/>
  <c r="F9" i="32"/>
  <c r="E18" i="32"/>
  <c r="I15" i="32"/>
  <c r="I18" i="32" s="1"/>
  <c r="M18" i="32"/>
  <c r="H9" i="32"/>
  <c r="C18" i="32"/>
  <c r="H18" i="32"/>
  <c r="G9" i="32"/>
  <c r="P18" i="32"/>
  <c r="N8" i="32"/>
  <c r="N9" i="32" s="1"/>
  <c r="D18" i="32"/>
  <c r="E9" i="32"/>
  <c r="F18" i="32"/>
  <c r="D9" i="32"/>
  <c r="G18" i="32"/>
  <c r="Q18" i="32"/>
  <c r="K15" i="32"/>
  <c r="K18" i="32" s="1"/>
  <c r="J9" i="32"/>
  <c r="K9" i="32"/>
  <c r="L9" i="32"/>
  <c r="N18" i="32"/>
  <c r="O18" i="32"/>
  <c r="I9" i="32"/>
  <c r="J15" i="32"/>
  <c r="J18" i="32" s="1"/>
  <c r="O8" i="32"/>
  <c r="L15" i="32"/>
  <c r="L18" i="32" s="1"/>
  <c r="P8" i="32"/>
  <c r="M9" i="32"/>
  <c r="Q21" i="32" l="1"/>
  <c r="R19" i="32"/>
  <c r="N19" i="32"/>
  <c r="F19" i="32"/>
  <c r="E19" i="32"/>
  <c r="D19" i="32"/>
  <c r="H19" i="32"/>
  <c r="Q19" i="32"/>
  <c r="O19" i="32"/>
  <c r="I19" i="32"/>
  <c r="G19" i="32"/>
  <c r="J19" i="32"/>
  <c r="K19" i="32"/>
  <c r="P9" i="32"/>
  <c r="Q9" i="32"/>
  <c r="L19" i="32"/>
  <c r="M19" i="32"/>
  <c r="O9" i="32"/>
  <c r="P19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 Benjamin</author>
  </authors>
  <commentList>
    <comment ref="B6" authorId="0" shapeId="0" xr:uid="{89170165-B3D9-42F5-ADB4-66A990CC0DFA}">
      <text>
        <r>
          <rPr>
            <b/>
            <sz val="9"/>
            <color indexed="81"/>
            <rFont val="Tahoma"/>
            <family val="2"/>
          </rPr>
          <t>Includes today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6" authorId="0" shapeId="0" xr:uid="{E975EB1E-191F-4E48-8F8C-5DC8AA43F94B}">
      <text>
        <r>
          <rPr>
            <b/>
            <sz val="9"/>
            <color indexed="81"/>
            <rFont val="Tahoma"/>
            <family val="2"/>
          </rPr>
          <t>Includes today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<sst xmlns="http://schemas.openxmlformats.org/spreadsheetml/2006/main" count="165" uniqueCount="80">
  <si>
    <t>Processing with Palmetto Claims</t>
  </si>
  <si>
    <t>329's and 327's</t>
  </si>
  <si>
    <t>Claim Count</t>
  </si>
  <si>
    <t>Suspense</t>
  </si>
  <si>
    <t xml:space="preserve">RTP &amp; Rejections </t>
  </si>
  <si>
    <t>Paid</t>
  </si>
  <si>
    <t>In Transit &amp; ADR</t>
  </si>
  <si>
    <t>3 days of billed claims plus ADR's</t>
  </si>
  <si>
    <t>Total</t>
  </si>
  <si>
    <t>Change</t>
  </si>
  <si>
    <t>WellSky Billed Claims</t>
  </si>
  <si>
    <t>WellSky vs Palmetto Difference</t>
  </si>
  <si>
    <t>Anticipated Payment</t>
  </si>
  <si>
    <t>$1,764 Average Allowed on Billed WellSky A/R. $1,885.24 Average Unbilled WellSky A/R</t>
  </si>
  <si>
    <t>RTP and Rejections</t>
  </si>
  <si>
    <t>Actual Reimbursement $1,607</t>
  </si>
  <si>
    <t>WellSky Billed A/R</t>
  </si>
  <si>
    <t>WellSky A/R by Claim Allowed</t>
  </si>
  <si>
    <t>Palmetto by Avg Reimbursement (last 30 days)</t>
  </si>
  <si>
    <t>A/R vs Actual Difference</t>
  </si>
  <si>
    <t>Concierge A/R Status 12/07/22</t>
  </si>
  <si>
    <t>Palmetto Billed</t>
  </si>
  <si>
    <t>Greater than 241?</t>
  </si>
  <si>
    <t>Row Labels</t>
  </si>
  <si>
    <t>No</t>
  </si>
  <si>
    <t>Yes</t>
  </si>
  <si>
    <t>Grand Total</t>
  </si>
  <si>
    <t>% of Total</t>
  </si>
  <si>
    <t>Return to Provider</t>
  </si>
  <si>
    <t>Billed in Last 3 Days</t>
  </si>
  <si>
    <t>Rejected</t>
  </si>
  <si>
    <t>Timely Filing</t>
  </si>
  <si>
    <t>Palmetto Unbilled</t>
  </si>
  <si>
    <t>Not Ready but Billable</t>
  </si>
  <si>
    <t>Patient Still on Service</t>
  </si>
  <si>
    <t>Past Timely Filing</t>
  </si>
  <si>
    <t>Palmetto Total</t>
  </si>
  <si>
    <t>Medicare Advantage Billed</t>
  </si>
  <si>
    <t>Processing (Billed in Oct or Nov)</t>
  </si>
  <si>
    <t>Medicare Advantage Unbilled</t>
  </si>
  <si>
    <t>Medicare Advantage Total</t>
  </si>
  <si>
    <t>Other Insurance</t>
  </si>
  <si>
    <t>Other Insurance Unbilled</t>
  </si>
  <si>
    <t>Other Insurance Total</t>
  </si>
  <si>
    <t>&lt;241</t>
  </si>
  <si>
    <t>&gt;241</t>
  </si>
  <si>
    <t>0-30</t>
  </si>
  <si>
    <t>31-60</t>
  </si>
  <si>
    <t>61-90</t>
  </si>
  <si>
    <t>91-120</t>
  </si>
  <si>
    <t>121-150</t>
  </si>
  <si>
    <t>151-180</t>
  </si>
  <si>
    <t>181-210</t>
  </si>
  <si>
    <t>211-240</t>
  </si>
  <si>
    <t>241+</t>
  </si>
  <si>
    <t>Unbilled</t>
  </si>
  <si>
    <t>Billed</t>
  </si>
  <si>
    <t>Combined</t>
  </si>
  <si>
    <t>Sep</t>
  </si>
  <si>
    <t>Oct</t>
  </si>
  <si>
    <t>Nov</t>
  </si>
  <si>
    <t>Dec</t>
  </si>
  <si>
    <t>Jan</t>
  </si>
  <si>
    <t>Feb</t>
  </si>
  <si>
    <t>Mar</t>
  </si>
  <si>
    <t>April</t>
  </si>
  <si>
    <t>May</t>
  </si>
  <si>
    <t>June</t>
  </si>
  <si>
    <t>July</t>
  </si>
  <si>
    <t>Aug</t>
  </si>
  <si>
    <t>Apr</t>
  </si>
  <si>
    <t>All</t>
  </si>
  <si>
    <t>Palmetto</t>
  </si>
  <si>
    <t>Advantage</t>
  </si>
  <si>
    <t>Other</t>
  </si>
  <si>
    <t>Medicare Traditional</t>
  </si>
  <si>
    <t>Medicare (Advantage/PFFS)</t>
  </si>
  <si>
    <t>Payer Type</t>
  </si>
  <si>
    <t>% Collections</t>
  </si>
  <si>
    <t>Medicare (HMO/Per Visit)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</si>
</sst>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%"/>
    <numFmt numFmtId="167" formatCode="[$-409]mmm\-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6"/>
      <color rgb="FF0070C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Border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97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0" fillId="4" borderId="0" xfId="0" applyFill="1"/>
    <xf numFmtId="44" fontId="0" fillId="4" borderId="0" xfId="1" applyFont="1" applyFill="1"/>
    <xf numFmtId="164" fontId="0" fillId="4" borderId="0" xfId="0" applyNumberFormat="1" applyFill="1"/>
    <xf numFmtId="9" fontId="0" fillId="0" borderId="0" xfId="4" applyFont="1"/>
    <xf numFmtId="164" fontId="7" fillId="2" borderId="1" xfId="0" applyNumberFormat="1" applyFont="1" applyFill="1" applyBorder="1"/>
    <xf numFmtId="2" fontId="0" fillId="0" borderId="0" xfId="0" applyNumberFormat="1"/>
    <xf numFmtId="0" fontId="9" fillId="0" borderId="0" xfId="5" applyFont="1"/>
    <xf numFmtId="0" fontId="8" fillId="0" borderId="0" xfId="5"/>
    <xf numFmtId="0" fontId="8" fillId="0" borderId="0" xfId="5" applyAlignment="1">
      <alignment wrapText="1"/>
    </xf>
    <xf numFmtId="0" fontId="8" fillId="7" borderId="0" xfId="5" applyFill="1"/>
    <xf numFmtId="0" fontId="10" fillId="5" borderId="8" xfId="5" applyFont="1" applyFill="1" applyBorder="1"/>
    <xf numFmtId="14" fontId="10" fillId="5" borderId="8" xfId="5" applyNumberFormat="1" applyFont="1" applyFill="1" applyBorder="1"/>
    <xf numFmtId="0" fontId="8" fillId="0" borderId="8" xfId="5" applyBorder="1"/>
    <xf numFmtId="165" fontId="0" fillId="0" borderId="8" xfId="6" applyNumberFormat="1" applyFont="1" applyBorder="1"/>
    <xf numFmtId="44" fontId="0" fillId="0" borderId="0" xfId="7" applyFont="1"/>
    <xf numFmtId="0" fontId="10" fillId="6" borderId="8" xfId="5" applyFont="1" applyFill="1" applyBorder="1"/>
    <xf numFmtId="165" fontId="10" fillId="6" borderId="8" xfId="6" applyNumberFormat="1" applyFont="1" applyFill="1" applyBorder="1"/>
    <xf numFmtId="0" fontId="10" fillId="0" borderId="0" xfId="5" applyFont="1"/>
    <xf numFmtId="14" fontId="8" fillId="0" borderId="0" xfId="5" applyNumberFormat="1"/>
    <xf numFmtId="164" fontId="0" fillId="0" borderId="8" xfId="7" applyNumberFormat="1" applyFont="1" applyBorder="1"/>
    <xf numFmtId="164" fontId="10" fillId="6" borderId="8" xfId="7" applyNumberFormat="1" applyFont="1" applyFill="1" applyBorder="1"/>
    <xf numFmtId="0" fontId="10" fillId="3" borderId="8" xfId="5" applyFont="1" applyFill="1" applyBorder="1"/>
    <xf numFmtId="165" fontId="10" fillId="3" borderId="8" xfId="6" applyNumberFormat="1" applyFont="1" applyFill="1" applyBorder="1"/>
    <xf numFmtId="0" fontId="10" fillId="8" borderId="8" xfId="5" applyFont="1" applyFill="1" applyBorder="1"/>
    <xf numFmtId="0" fontId="8" fillId="8" borderId="8" xfId="5" applyFill="1" applyBorder="1"/>
    <xf numFmtId="165" fontId="10" fillId="8" borderId="8" xfId="6" applyNumberFormat="1" applyFont="1" applyFill="1" applyBorder="1"/>
    <xf numFmtId="164" fontId="10" fillId="3" borderId="8" xfId="1" applyNumberFormat="1" applyFont="1" applyFill="1" applyBorder="1"/>
    <xf numFmtId="164" fontId="10" fillId="8" borderId="8" xfId="1" applyNumberFormat="1" applyFont="1" applyFill="1" applyBorder="1"/>
    <xf numFmtId="0" fontId="10" fillId="3" borderId="9" xfId="5" applyFont="1" applyFill="1" applyBorder="1"/>
    <xf numFmtId="0" fontId="10" fillId="6" borderId="2" xfId="5" applyFont="1" applyFill="1" applyBorder="1"/>
    <xf numFmtId="0" fontId="8" fillId="6" borderId="3" xfId="5" applyFill="1" applyBorder="1"/>
    <xf numFmtId="0" fontId="10" fillId="6" borderId="10" xfId="5" applyFont="1" applyFill="1" applyBorder="1"/>
    <xf numFmtId="0" fontId="10" fillId="6" borderId="4" xfId="5" applyFont="1" applyFill="1" applyBorder="1"/>
    <xf numFmtId="0" fontId="10" fillId="6" borderId="5" xfId="5" applyFont="1" applyFill="1" applyBorder="1"/>
    <xf numFmtId="0" fontId="8" fillId="0" borderId="10" xfId="5" applyBorder="1"/>
    <xf numFmtId="164" fontId="0" fillId="0" borderId="4" xfId="1" applyNumberFormat="1" applyFont="1" applyBorder="1"/>
    <xf numFmtId="164" fontId="0" fillId="0" borderId="5" xfId="1" applyNumberFormat="1" applyFont="1" applyBorder="1"/>
    <xf numFmtId="9" fontId="0" fillId="0" borderId="5" xfId="4" applyFont="1" applyBorder="1"/>
    <xf numFmtId="0" fontId="10" fillId="6" borderId="11" xfId="5" applyFont="1" applyFill="1" applyBorder="1"/>
    <xf numFmtId="164" fontId="10" fillId="6" borderId="6" xfId="1" applyNumberFormat="1" applyFont="1" applyFill="1" applyBorder="1"/>
    <xf numFmtId="164" fontId="10" fillId="6" borderId="7" xfId="1" applyNumberFormat="1" applyFont="1" applyFill="1" applyBorder="1"/>
    <xf numFmtId="9" fontId="0" fillId="6" borderId="7" xfId="4" applyFont="1" applyFill="1" applyBorder="1"/>
    <xf numFmtId="0" fontId="8" fillId="0" borderId="4" xfId="5" applyBorder="1"/>
    <xf numFmtId="0" fontId="8" fillId="0" borderId="0" xfId="5" applyBorder="1"/>
    <xf numFmtId="0" fontId="8" fillId="0" borderId="5" xfId="5" applyBorder="1"/>
    <xf numFmtId="0" fontId="8" fillId="6" borderId="2" xfId="5" applyFill="1" applyBorder="1"/>
    <xf numFmtId="0" fontId="8" fillId="0" borderId="10" xfId="5" applyBorder="1" applyAlignment="1">
      <alignment horizontal="left"/>
    </xf>
    <xf numFmtId="164" fontId="8" fillId="0" borderId="4" xfId="5" applyNumberFormat="1" applyBorder="1"/>
    <xf numFmtId="164" fontId="8" fillId="0" borderId="5" xfId="5" applyNumberFormat="1" applyBorder="1"/>
    <xf numFmtId="164" fontId="8" fillId="0" borderId="0" xfId="5" applyNumberFormat="1" applyBorder="1"/>
    <xf numFmtId="0" fontId="10" fillId="9" borderId="12" xfId="5" applyFont="1" applyFill="1" applyBorder="1" applyAlignment="1">
      <alignment horizontal="left"/>
    </xf>
    <xf numFmtId="164" fontId="10" fillId="9" borderId="13" xfId="5" applyNumberFormat="1" applyFont="1" applyFill="1" applyBorder="1"/>
    <xf numFmtId="0" fontId="8" fillId="9" borderId="14" xfId="5" applyFill="1" applyBorder="1"/>
    <xf numFmtId="0" fontId="10" fillId="3" borderId="2" xfId="5" applyFont="1" applyFill="1" applyBorder="1"/>
    <xf numFmtId="0" fontId="10" fillId="6" borderId="0" xfId="5" applyFont="1" applyFill="1" applyBorder="1"/>
    <xf numFmtId="0" fontId="8" fillId="0" borderId="4" xfId="5" applyBorder="1" applyAlignment="1">
      <alignment horizontal="left"/>
    </xf>
    <xf numFmtId="44" fontId="8" fillId="0" borderId="5" xfId="5" applyNumberFormat="1" applyBorder="1"/>
    <xf numFmtId="44" fontId="8" fillId="0" borderId="4" xfId="5" applyNumberFormat="1" applyBorder="1"/>
    <xf numFmtId="0" fontId="10" fillId="6" borderId="12" xfId="5" applyFont="1" applyFill="1" applyBorder="1"/>
    <xf numFmtId="164" fontId="10" fillId="6" borderId="13" xfId="1" applyNumberFormat="1" applyFont="1" applyFill="1" applyBorder="1"/>
    <xf numFmtId="9" fontId="0" fillId="6" borderId="14" xfId="4" applyFont="1" applyFill="1" applyBorder="1"/>
    <xf numFmtId="164" fontId="10" fillId="6" borderId="20" xfId="1" applyNumberFormat="1" applyFont="1" applyFill="1" applyBorder="1"/>
    <xf numFmtId="0" fontId="10" fillId="9" borderId="19" xfId="5" applyFont="1" applyFill="1" applyBorder="1" applyAlignment="1">
      <alignment horizontal="left"/>
    </xf>
    <xf numFmtId="0" fontId="10" fillId="9" borderId="21" xfId="5" applyFont="1" applyFill="1" applyBorder="1" applyAlignment="1">
      <alignment horizontal="left"/>
    </xf>
    <xf numFmtId="0" fontId="10" fillId="9" borderId="18" xfId="5" applyFont="1" applyFill="1" applyBorder="1" applyAlignment="1">
      <alignment horizontal="left"/>
    </xf>
    <xf numFmtId="0" fontId="10" fillId="0" borderId="0" xfId="5" applyFont="1" applyBorder="1" applyAlignment="1">
      <alignment horizontal="left"/>
    </xf>
    <xf numFmtId="0" fontId="10" fillId="9" borderId="20" xfId="5" applyFont="1" applyFill="1" applyBorder="1" applyAlignment="1">
      <alignment horizontal="left"/>
    </xf>
    <xf numFmtId="164" fontId="10" fillId="9" borderId="22" xfId="1" applyNumberFormat="1" applyFont="1" applyFill="1" applyBorder="1" applyAlignment="1">
      <alignment horizontal="left"/>
    </xf>
    <xf numFmtId="164" fontId="10" fillId="9" borderId="23" xfId="1" applyNumberFormat="1" applyFont="1" applyFill="1" applyBorder="1" applyAlignment="1">
      <alignment horizontal="left"/>
    </xf>
    <xf numFmtId="166" fontId="0" fillId="0" borderId="5" xfId="4" applyNumberFormat="1" applyFont="1" applyBorder="1"/>
    <xf numFmtId="0" fontId="10" fillId="9" borderId="0" xfId="5" applyFont="1" applyFill="1" applyBorder="1" applyAlignment="1">
      <alignment horizontal="left"/>
    </xf>
    <xf numFmtId="164" fontId="10" fillId="9" borderId="0" xfId="5" applyNumberFormat="1" applyFont="1" applyFill="1" applyBorder="1"/>
    <xf numFmtId="0" fontId="8" fillId="9" borderId="0" xfId="5" applyFill="1" applyBorder="1"/>
    <xf numFmtId="164" fontId="0" fillId="0" borderId="0" xfId="0" applyNumberFormat="1" applyAlignment="1">
      <alignment wrapText="1"/>
    </xf>
    <xf numFmtId="44" fontId="7" fillId="0" borderId="0" xfId="0" applyNumberFormat="1" applyFont="1"/>
    <xf numFmtId="164" fontId="7" fillId="2" borderId="1" xfId="1" applyNumberFormat="1" applyFont="1" applyFill="1" applyBorder="1"/>
    <xf numFmtId="164" fontId="0" fillId="4" borderId="0" xfId="0" applyNumberFormat="1" applyFill="1" applyAlignment="1">
      <alignment wrapText="1"/>
    </xf>
    <xf numFmtId="164" fontId="0" fillId="4" borderId="0" xfId="1" applyNumberFormat="1" applyFont="1" applyFill="1"/>
    <xf numFmtId="9" fontId="0" fillId="4" borderId="0" xfId="4" applyFont="1" applyFill="1"/>
    <xf numFmtId="164" fontId="2" fillId="10" borderId="0" xfId="0" applyNumberFormat="1" applyFont="1" applyFill="1"/>
    <xf numFmtId="0" fontId="13" fillId="0" borderId="0" xfId="0" applyFont="1"/>
    <xf numFmtId="164" fontId="14" fillId="0" borderId="0" xfId="0" applyNumberFormat="1" applyFont="1"/>
    <xf numFmtId="5" fontId="14" fillId="0" borderId="0" xfId="0" applyNumberFormat="1" applyFont="1"/>
    <xf numFmtId="164" fontId="13" fillId="10" borderId="0" xfId="0" applyNumberFormat="1" applyFont="1" applyFill="1"/>
    <xf numFmtId="0" fontId="12" fillId="0" borderId="0" xfId="0" applyFont="1"/>
    <xf numFmtId="167" fontId="13" fillId="0" borderId="0" xfId="0" applyNumberFormat="1" applyFont="1"/>
    <xf numFmtId="0" fontId="10" fillId="6" borderId="2" xfId="5" applyFont="1" applyFill="1" applyBorder="1" applyAlignment="1">
      <alignment horizontal="center"/>
    </xf>
    <xf numFmtId="0" fontId="10" fillId="6" borderId="3" xfId="5" applyFont="1" applyFill="1" applyBorder="1" applyAlignment="1">
      <alignment horizontal="center"/>
    </xf>
    <xf numFmtId="0" fontId="10" fillId="6" borderId="19" xfId="5" applyFont="1" applyFill="1" applyBorder="1" applyAlignment="1">
      <alignment horizontal="center"/>
    </xf>
    <xf numFmtId="0" fontId="10" fillId="6" borderId="18" xfId="5" applyFont="1" applyFill="1" applyBorder="1" applyAlignment="1">
      <alignment horizontal="center"/>
    </xf>
    <xf numFmtId="0" fontId="11" fillId="0" borderId="0" xfId="5" applyFont="1" applyAlignment="1">
      <alignment horizontal="center"/>
    </xf>
    <xf numFmtId="0" fontId="10" fillId="6" borderId="15" xfId="5" applyFont="1" applyFill="1" applyBorder="1" applyAlignment="1">
      <alignment horizontal="center"/>
    </xf>
    <xf numFmtId="0" fontId="10" fillId="6" borderId="16" xfId="5" applyFont="1" applyFill="1" applyBorder="1" applyAlignment="1">
      <alignment horizontal="center"/>
    </xf>
    <xf numFmtId="0" fontId="10" fillId="6" borderId="17" xfId="5" applyFont="1" applyFill="1" applyBorder="1" applyAlignment="1">
      <alignment horizontal="center"/>
    </xf>
  </cellXfs>
  <cellStyles count="8">
    <cellStyle name="Comma 2" xfId="3" xr:uid="{D613B556-C921-4E68-BBEA-503FCB58B20B}"/>
    <cellStyle name="Comma 3" xfId="6" xr:uid="{CDB0015E-F1A7-4423-9BF3-794BBDC7F836}"/>
    <cellStyle name="Currency" xfId="1" builtinId="4"/>
    <cellStyle name="Currency 2" xfId="7" xr:uid="{194CD4D0-375F-48D7-BB7A-767450FFDBF4}"/>
    <cellStyle name="Normal" xfId="0" builtinId="0"/>
    <cellStyle name="Normal 2" xfId="2" xr:uid="{6B0BF0BB-3DEC-4722-9AE5-7139B1B3CE38}"/>
    <cellStyle name="Normal 3" xfId="5" xr:uid="{92E172D0-5677-42D6-9000-0FC55812084E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Claim Count</a:t>
            </a:r>
          </a:p>
        </c:rich>
      </c:tx>
      <c:layout>
        <c:manualLayout>
          <c:xMode val="edge"/>
          <c:yMode val="edge"/>
          <c:x val="0.58430955637746362"/>
          <c:y val="1.9243162038955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'Palmetto Dashboard'!$B$4</c:f>
              <c:strCache>
                <c:ptCount val="1"/>
                <c:pt idx="0">
                  <c:v>Suspense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'Palmetto Dashboard'!$C$3:$Q$3</c:f>
              <c:numCache>
                <c:formatCode>m/d/yy</c:formatCode>
                <c:ptCount val="15"/>
                <c:pt idx="0">
                  <c:v>44841</c:v>
                </c:pt>
                <c:pt idx="1">
                  <c:v>44844</c:v>
                </c:pt>
                <c:pt idx="2">
                  <c:v>44845</c:v>
                </c:pt>
                <c:pt idx="3">
                  <c:v>44846</c:v>
                </c:pt>
                <c:pt idx="4">
                  <c:v>44851</c:v>
                </c:pt>
                <c:pt idx="5">
                  <c:v>44852</c:v>
                </c:pt>
                <c:pt idx="6">
                  <c:v>44853</c:v>
                </c:pt>
                <c:pt idx="7">
                  <c:v>44855</c:v>
                </c:pt>
                <c:pt idx="8">
                  <c:v>44865</c:v>
                </c:pt>
                <c:pt idx="9">
                  <c:v>44866</c:v>
                </c:pt>
                <c:pt idx="10">
                  <c:v>44872</c:v>
                </c:pt>
                <c:pt idx="11">
                  <c:v>44886</c:v>
                </c:pt>
                <c:pt idx="12">
                  <c:v>44893</c:v>
                </c:pt>
                <c:pt idx="13">
                  <c:v>44895</c:v>
                </c:pt>
                <c:pt idx="14">
                  <c:v>44902</c:v>
                </c:pt>
              </c:numCache>
            </c:numRef>
          </c:cat>
          <c:val>
            <c:numRef>
              <c:f>'Palmetto Dashboard'!$C$4:$Q$4</c:f>
              <c:numCache>
                <c:formatCode>_(* #,##0_);_(* \(#,##0\);_(* "-"??_);_(@_)</c:formatCode>
                <c:ptCount val="15"/>
                <c:pt idx="0">
                  <c:v>1790</c:v>
                </c:pt>
                <c:pt idx="1">
                  <c:v>2352</c:v>
                </c:pt>
                <c:pt idx="2">
                  <c:v>2477</c:v>
                </c:pt>
                <c:pt idx="3">
                  <c:v>2283</c:v>
                </c:pt>
                <c:pt idx="4">
                  <c:v>2394</c:v>
                </c:pt>
                <c:pt idx="5">
                  <c:v>2187</c:v>
                </c:pt>
                <c:pt idx="6">
                  <c:v>2562</c:v>
                </c:pt>
                <c:pt idx="7">
                  <c:v>2675</c:v>
                </c:pt>
                <c:pt idx="8">
                  <c:v>2484</c:v>
                </c:pt>
                <c:pt idx="9">
                  <c:v>1394</c:v>
                </c:pt>
                <c:pt idx="10">
                  <c:v>1628</c:v>
                </c:pt>
                <c:pt idx="11">
                  <c:v>2187</c:v>
                </c:pt>
                <c:pt idx="12">
                  <c:v>3122</c:v>
                </c:pt>
                <c:pt idx="13">
                  <c:v>2835</c:v>
                </c:pt>
                <c:pt idx="14">
                  <c:v>2153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91-4816-B29A-ED9FC359FEB5}"/>
            </c:ext>
          </c:extLst>
        </c:ser>
        <c:ser>
          <c:idx val="1"/>
          <c:order val="1"/>
          <c:tx>
            <c:strRef>
              <c:f>'Palmetto Dashboard'!$B$5</c:f>
              <c:strCache>
                <c:ptCount val="1"/>
                <c:pt idx="0">
                  <c:v>RTP &amp; Rejections 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'Palmetto Dashboard'!$C$3:$Q$3</c:f>
              <c:numCache>
                <c:formatCode>m/d/yy</c:formatCode>
                <c:ptCount val="15"/>
                <c:pt idx="0">
                  <c:v>44841</c:v>
                </c:pt>
                <c:pt idx="1">
                  <c:v>44844</c:v>
                </c:pt>
                <c:pt idx="2">
                  <c:v>44845</c:v>
                </c:pt>
                <c:pt idx="3">
                  <c:v>44846</c:v>
                </c:pt>
                <c:pt idx="4">
                  <c:v>44851</c:v>
                </c:pt>
                <c:pt idx="5">
                  <c:v>44852</c:v>
                </c:pt>
                <c:pt idx="6">
                  <c:v>44853</c:v>
                </c:pt>
                <c:pt idx="7">
                  <c:v>44855</c:v>
                </c:pt>
                <c:pt idx="8">
                  <c:v>44865</c:v>
                </c:pt>
                <c:pt idx="9">
                  <c:v>44866</c:v>
                </c:pt>
                <c:pt idx="10">
                  <c:v>44872</c:v>
                </c:pt>
                <c:pt idx="11">
                  <c:v>44886</c:v>
                </c:pt>
                <c:pt idx="12">
                  <c:v>44893</c:v>
                </c:pt>
                <c:pt idx="13">
                  <c:v>44895</c:v>
                </c:pt>
                <c:pt idx="14">
                  <c:v>44902</c:v>
                </c:pt>
              </c:numCache>
            </c:numRef>
          </c:cat>
          <c:val>
            <c:numRef>
              <c:f>'Palmetto Dashboard'!$C$5:$Q$5</c:f>
              <c:numCache>
                <c:formatCode>_(* #,##0_);_(* \(#,##0\);_(* "-"??_);_(@_)</c:formatCode>
                <c:ptCount val="15"/>
                <c:pt idx="0">
                  <c:v>568</c:v>
                </c:pt>
                <c:pt idx="1">
                  <c:v>558</c:v>
                </c:pt>
                <c:pt idx="2">
                  <c:v>463</c:v>
                </c:pt>
                <c:pt idx="3">
                  <c:v>612</c:v>
                </c:pt>
                <c:pt idx="4">
                  <c:v>1264</c:v>
                </c:pt>
                <c:pt idx="5">
                  <c:v>1203</c:v>
                </c:pt>
                <c:pt idx="6">
                  <c:v>1014</c:v>
                </c:pt>
                <c:pt idx="7">
                  <c:v>1116</c:v>
                </c:pt>
                <c:pt idx="8">
                  <c:v>825</c:v>
                </c:pt>
                <c:pt idx="9">
                  <c:v>770</c:v>
                </c:pt>
                <c:pt idx="10">
                  <c:v>782</c:v>
                </c:pt>
                <c:pt idx="11">
                  <c:v>761</c:v>
                </c:pt>
                <c:pt idx="12">
                  <c:v>852</c:v>
                </c:pt>
                <c:pt idx="13">
                  <c:v>1107</c:v>
                </c:pt>
                <c:pt idx="14">
                  <c:v>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91-4816-B29A-ED9FC359FEB5}"/>
            </c:ext>
          </c:extLst>
        </c:ser>
        <c:ser>
          <c:idx val="2"/>
          <c:order val="2"/>
          <c:tx>
            <c:strRef>
              <c:f>'Palmetto Dashboard'!$B$6</c:f>
              <c:strCache>
                <c:ptCount val="1"/>
                <c:pt idx="0">
                  <c:v>Paid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'Palmetto Dashboard'!$C$3:$Q$3</c:f>
              <c:numCache>
                <c:formatCode>m/d/yy</c:formatCode>
                <c:ptCount val="15"/>
                <c:pt idx="0">
                  <c:v>44841</c:v>
                </c:pt>
                <c:pt idx="1">
                  <c:v>44844</c:v>
                </c:pt>
                <c:pt idx="2">
                  <c:v>44845</c:v>
                </c:pt>
                <c:pt idx="3">
                  <c:v>44846</c:v>
                </c:pt>
                <c:pt idx="4">
                  <c:v>44851</c:v>
                </c:pt>
                <c:pt idx="5">
                  <c:v>44852</c:v>
                </c:pt>
                <c:pt idx="6">
                  <c:v>44853</c:v>
                </c:pt>
                <c:pt idx="7">
                  <c:v>44855</c:v>
                </c:pt>
                <c:pt idx="8">
                  <c:v>44865</c:v>
                </c:pt>
                <c:pt idx="9">
                  <c:v>44866</c:v>
                </c:pt>
                <c:pt idx="10">
                  <c:v>44872</c:v>
                </c:pt>
                <c:pt idx="11">
                  <c:v>44886</c:v>
                </c:pt>
                <c:pt idx="12">
                  <c:v>44893</c:v>
                </c:pt>
                <c:pt idx="13">
                  <c:v>44895</c:v>
                </c:pt>
                <c:pt idx="14">
                  <c:v>44902</c:v>
                </c:pt>
              </c:numCache>
            </c:numRef>
          </c:cat>
          <c:val>
            <c:numRef>
              <c:f>'Palmetto Dashboard'!$C$6:$Q$6</c:f>
              <c:numCache>
                <c:formatCode>_(* #,##0_);_(* \(#,##0\);_(* "-"??_);_(@_)</c:formatCode>
                <c:ptCount val="15"/>
                <c:pt idx="0">
                  <c:v>572</c:v>
                </c:pt>
                <c:pt idx="1">
                  <c:v>659</c:v>
                </c:pt>
                <c:pt idx="2">
                  <c:v>840</c:v>
                </c:pt>
                <c:pt idx="3">
                  <c:v>358</c:v>
                </c:pt>
                <c:pt idx="4">
                  <c:v>488</c:v>
                </c:pt>
                <c:pt idx="5">
                  <c:v>209</c:v>
                </c:pt>
                <c:pt idx="6">
                  <c:v>343</c:v>
                </c:pt>
                <c:pt idx="7">
                  <c:v>660</c:v>
                </c:pt>
                <c:pt idx="8">
                  <c:v>703</c:v>
                </c:pt>
                <c:pt idx="9">
                  <c:v>516</c:v>
                </c:pt>
                <c:pt idx="10">
                  <c:v>529</c:v>
                </c:pt>
                <c:pt idx="11">
                  <c:v>690</c:v>
                </c:pt>
                <c:pt idx="12">
                  <c:v>381</c:v>
                </c:pt>
                <c:pt idx="13">
                  <c:v>485</c:v>
                </c:pt>
                <c:pt idx="14">
                  <c:v>740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91-4816-B29A-ED9FC359FEB5}"/>
            </c:ext>
          </c:extLst>
        </c:ser>
        <c:ser>
          <c:idx val="3"/>
          <c:order val="3"/>
          <c:tx>
            <c:strRef>
              <c:f>'Palmetto Dashboard'!$B$8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'Palmetto Dashboard'!$C$3:$Q$3</c:f>
              <c:numCache>
                <c:formatCode>m/d/yy</c:formatCode>
                <c:ptCount val="15"/>
                <c:pt idx="0">
                  <c:v>44841</c:v>
                </c:pt>
                <c:pt idx="1">
                  <c:v>44844</c:v>
                </c:pt>
                <c:pt idx="2">
                  <c:v>44845</c:v>
                </c:pt>
                <c:pt idx="3">
                  <c:v>44846</c:v>
                </c:pt>
                <c:pt idx="4">
                  <c:v>44851</c:v>
                </c:pt>
                <c:pt idx="5">
                  <c:v>44852</c:v>
                </c:pt>
                <c:pt idx="6">
                  <c:v>44853</c:v>
                </c:pt>
                <c:pt idx="7">
                  <c:v>44855</c:v>
                </c:pt>
                <c:pt idx="8">
                  <c:v>44865</c:v>
                </c:pt>
                <c:pt idx="9">
                  <c:v>44866</c:v>
                </c:pt>
                <c:pt idx="10">
                  <c:v>44872</c:v>
                </c:pt>
                <c:pt idx="11">
                  <c:v>44886</c:v>
                </c:pt>
                <c:pt idx="12">
                  <c:v>44893</c:v>
                </c:pt>
                <c:pt idx="13">
                  <c:v>44895</c:v>
                </c:pt>
                <c:pt idx="14">
                  <c:v>44902</c:v>
                </c:pt>
              </c:numCache>
            </c:numRef>
          </c:cat>
          <c:val>
            <c:numRef>
              <c:f>'Palmetto Dashboard'!$C$8:$Q$8</c:f>
              <c:numCache>
                <c:formatCode>_(* #,##0_);_(* \(#,##0\);_(* "-"??_);_(@_)</c:formatCode>
                <c:ptCount val="15"/>
                <c:pt idx="0">
                  <c:v>3130</c:v>
                </c:pt>
                <c:pt idx="1">
                  <c:v>3769</c:v>
                </c:pt>
                <c:pt idx="2">
                  <c:v>3980</c:v>
                </c:pt>
                <c:pt idx="3">
                  <c:v>3453</c:v>
                </c:pt>
                <c:pt idx="4">
                  <c:v>4346</c:v>
                </c:pt>
                <c:pt idx="5">
                  <c:v>3599</c:v>
                </c:pt>
                <c:pt idx="6">
                  <c:v>3919</c:v>
                </c:pt>
                <c:pt idx="7">
                  <c:v>4451</c:v>
                </c:pt>
                <c:pt idx="8">
                  <c:v>4012</c:v>
                </c:pt>
                <c:pt idx="9">
                  <c:v>2680</c:v>
                </c:pt>
                <c:pt idx="10">
                  <c:v>2939</c:v>
                </c:pt>
                <c:pt idx="11">
                  <c:v>4592</c:v>
                </c:pt>
                <c:pt idx="12">
                  <c:v>4755</c:v>
                </c:pt>
                <c:pt idx="13">
                  <c:v>4927</c:v>
                </c:pt>
                <c:pt idx="14">
                  <c:v>4380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91-4816-B29A-ED9FC359F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57648"/>
        <c:axId val="171453488"/>
      </c:lineChart>
      <c:catAx>
        <c:axId val="17145764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53488"/>
        <c:crosses val="autoZero"/>
        <c:auto val="0"/>
        <c:lblAlgn val="ctr"/>
        <c:lblOffset val="100"/>
        <c:noMultiLvlLbl val="1"/>
      </c:catAx>
      <c:valAx>
        <c:axId val="1714534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57648"/>
        <c:crossesAt val="44841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0576288870191399"/>
          <c:y val="7.4758771929824566E-2"/>
          <c:w val="0.23209814441910986"/>
          <c:h val="3.70068379610443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Anticipated</a:t>
            </a:r>
            <a:r>
              <a:rPr lang="en-US" baseline="0"/>
              <a:t> Reimbursment</a:t>
            </a:r>
            <a:endParaRPr lang="en-US"/>
          </a:p>
        </c:rich>
      </c:tx>
      <c:layout>
        <c:manualLayout>
          <c:xMode val="edge"/>
          <c:yMode val="edge"/>
          <c:x val="0.54369189641703308"/>
          <c:y val="2.76902066416182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'Palmetto Dashboard'!$B$14</c:f>
              <c:strCache>
                <c:ptCount val="1"/>
                <c:pt idx="0">
                  <c:v>Suspense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-7.9740411678411838E-2"/>
                  <c:y val="-4.46320817614839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13D-4E43-B322-31D9587DD15B}"/>
                </c:ext>
              </c:extLst>
            </c:dLbl>
            <c:dLbl>
              <c:idx val="3"/>
              <c:layout>
                <c:manualLayout>
                  <c:x val="-3.3065965937455019E-2"/>
                  <c:y val="-5.17774908361535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13D-4E43-B322-31D9587DD1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'Palmetto Dashboard'!$C$13:$Q$13</c:f>
              <c:numCache>
                <c:formatCode>m/d/yy</c:formatCode>
                <c:ptCount val="15"/>
                <c:pt idx="0">
                  <c:v>44841</c:v>
                </c:pt>
                <c:pt idx="1">
                  <c:v>44844</c:v>
                </c:pt>
                <c:pt idx="2">
                  <c:v>44845</c:v>
                </c:pt>
                <c:pt idx="3">
                  <c:v>44846</c:v>
                </c:pt>
                <c:pt idx="4">
                  <c:v>44851</c:v>
                </c:pt>
                <c:pt idx="5">
                  <c:v>44852</c:v>
                </c:pt>
                <c:pt idx="6">
                  <c:v>44853</c:v>
                </c:pt>
                <c:pt idx="7">
                  <c:v>44855</c:v>
                </c:pt>
                <c:pt idx="8">
                  <c:v>44865</c:v>
                </c:pt>
                <c:pt idx="9">
                  <c:v>44866</c:v>
                </c:pt>
                <c:pt idx="10">
                  <c:v>44872</c:v>
                </c:pt>
                <c:pt idx="11">
                  <c:v>44886</c:v>
                </c:pt>
                <c:pt idx="12">
                  <c:v>44893</c:v>
                </c:pt>
                <c:pt idx="13">
                  <c:v>44895</c:v>
                </c:pt>
                <c:pt idx="14">
                  <c:v>44902</c:v>
                </c:pt>
              </c:numCache>
            </c:numRef>
          </c:cat>
          <c:val>
            <c:numRef>
              <c:f>'Palmetto Dashboard'!$C$14:$Q$14</c:f>
              <c:numCache>
                <c:formatCode>_("$"* #,##0_);_("$"* \(#,##0\);_("$"* "-"??_);_(@_)</c:formatCode>
                <c:ptCount val="15"/>
                <c:pt idx="0">
                  <c:v>2969610</c:v>
                </c:pt>
                <c:pt idx="1">
                  <c:v>3901968</c:v>
                </c:pt>
                <c:pt idx="2">
                  <c:v>4109343</c:v>
                </c:pt>
                <c:pt idx="3">
                  <c:v>3787497</c:v>
                </c:pt>
                <c:pt idx="4">
                  <c:v>4175136</c:v>
                </c:pt>
                <c:pt idx="5">
                  <c:v>3814128</c:v>
                </c:pt>
                <c:pt idx="6">
                  <c:v>4468128</c:v>
                </c:pt>
                <c:pt idx="7">
                  <c:v>4665200</c:v>
                </c:pt>
                <c:pt idx="8">
                  <c:v>4250124</c:v>
                </c:pt>
                <c:pt idx="9">
                  <c:v>2385134</c:v>
                </c:pt>
                <c:pt idx="10">
                  <c:v>2785508</c:v>
                </c:pt>
                <c:pt idx="11">
                  <c:v>4387122</c:v>
                </c:pt>
                <c:pt idx="12">
                  <c:v>6225268</c:v>
                </c:pt>
                <c:pt idx="13">
                  <c:v>5687010</c:v>
                </c:pt>
                <c:pt idx="14">
                  <c:v>4310306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3D-4E43-B322-31D9587DD15B}"/>
            </c:ext>
          </c:extLst>
        </c:ser>
        <c:ser>
          <c:idx val="1"/>
          <c:order val="1"/>
          <c:tx>
            <c:strRef>
              <c:f>'Palmetto Dashboard'!$B$15</c:f>
              <c:strCache>
                <c:ptCount val="1"/>
                <c:pt idx="0">
                  <c:v>RTP and Rejections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3"/>
              <c:layout>
                <c:manualLayout>
                  <c:x val="-4.8624114517773959E-2"/>
                  <c:y val="-5.89763498212241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13D-4E43-B322-31D9587DD1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'Palmetto Dashboard'!$C$13:$Q$13</c:f>
              <c:numCache>
                <c:formatCode>m/d/yy</c:formatCode>
                <c:ptCount val="15"/>
                <c:pt idx="0">
                  <c:v>44841</c:v>
                </c:pt>
                <c:pt idx="1">
                  <c:v>44844</c:v>
                </c:pt>
                <c:pt idx="2">
                  <c:v>44845</c:v>
                </c:pt>
                <c:pt idx="3">
                  <c:v>44846</c:v>
                </c:pt>
                <c:pt idx="4">
                  <c:v>44851</c:v>
                </c:pt>
                <c:pt idx="5">
                  <c:v>44852</c:v>
                </c:pt>
                <c:pt idx="6">
                  <c:v>44853</c:v>
                </c:pt>
                <c:pt idx="7">
                  <c:v>44855</c:v>
                </c:pt>
                <c:pt idx="8">
                  <c:v>44865</c:v>
                </c:pt>
                <c:pt idx="9">
                  <c:v>44866</c:v>
                </c:pt>
                <c:pt idx="10">
                  <c:v>44872</c:v>
                </c:pt>
                <c:pt idx="11">
                  <c:v>44886</c:v>
                </c:pt>
                <c:pt idx="12">
                  <c:v>44893</c:v>
                </c:pt>
                <c:pt idx="13">
                  <c:v>44895</c:v>
                </c:pt>
                <c:pt idx="14">
                  <c:v>44902</c:v>
                </c:pt>
              </c:numCache>
            </c:numRef>
          </c:cat>
          <c:val>
            <c:numRef>
              <c:f>'Palmetto Dashboard'!$C$15:$Q$15</c:f>
              <c:numCache>
                <c:formatCode>_("$"* #,##0_);_("$"* \(#,##0\);_("$"* "-"??_);_(@_)</c:formatCode>
                <c:ptCount val="15"/>
                <c:pt idx="0">
                  <c:v>942312</c:v>
                </c:pt>
                <c:pt idx="1">
                  <c:v>925722</c:v>
                </c:pt>
                <c:pt idx="2">
                  <c:v>768117</c:v>
                </c:pt>
                <c:pt idx="3">
                  <c:v>1015308</c:v>
                </c:pt>
                <c:pt idx="4">
                  <c:v>2204416</c:v>
                </c:pt>
                <c:pt idx="5">
                  <c:v>2098032</c:v>
                </c:pt>
                <c:pt idx="6">
                  <c:v>1768416</c:v>
                </c:pt>
                <c:pt idx="7">
                  <c:v>1946304</c:v>
                </c:pt>
                <c:pt idx="8">
                  <c:v>1438800</c:v>
                </c:pt>
                <c:pt idx="9">
                  <c:v>1342880</c:v>
                </c:pt>
                <c:pt idx="10">
                  <c:v>1363808</c:v>
                </c:pt>
                <c:pt idx="11">
                  <c:v>1526566</c:v>
                </c:pt>
                <c:pt idx="12">
                  <c:v>1698888</c:v>
                </c:pt>
                <c:pt idx="13">
                  <c:v>2216214</c:v>
                </c:pt>
                <c:pt idx="14">
                  <c:v>1687046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3D-4E43-B322-31D9587DD15B}"/>
            </c:ext>
          </c:extLst>
        </c:ser>
        <c:ser>
          <c:idx val="2"/>
          <c:order val="2"/>
          <c:tx>
            <c:strRef>
              <c:f>'Palmetto Dashboard'!$B$16</c:f>
              <c:strCache>
                <c:ptCount val="1"/>
                <c:pt idx="0">
                  <c:v>Paid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-8.9464254541111218E-2"/>
                  <c:y val="-5.17774908361535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13D-4E43-B322-31D9587DD15B}"/>
                </c:ext>
              </c:extLst>
            </c:dLbl>
            <c:dLbl>
              <c:idx val="3"/>
              <c:layout>
                <c:manualLayout>
                  <c:x val="2.0225593154414554E-2"/>
                  <c:y val="4.11128271345503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13D-4E43-B322-31D9587DD1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'Palmetto Dashboard'!$C$13:$Q$13</c:f>
              <c:numCache>
                <c:formatCode>m/d/yy</c:formatCode>
                <c:ptCount val="15"/>
                <c:pt idx="0">
                  <c:v>44841</c:v>
                </c:pt>
                <c:pt idx="1">
                  <c:v>44844</c:v>
                </c:pt>
                <c:pt idx="2">
                  <c:v>44845</c:v>
                </c:pt>
                <c:pt idx="3">
                  <c:v>44846</c:v>
                </c:pt>
                <c:pt idx="4">
                  <c:v>44851</c:v>
                </c:pt>
                <c:pt idx="5">
                  <c:v>44852</c:v>
                </c:pt>
                <c:pt idx="6">
                  <c:v>44853</c:v>
                </c:pt>
                <c:pt idx="7">
                  <c:v>44855</c:v>
                </c:pt>
                <c:pt idx="8">
                  <c:v>44865</c:v>
                </c:pt>
                <c:pt idx="9">
                  <c:v>44866</c:v>
                </c:pt>
                <c:pt idx="10">
                  <c:v>44872</c:v>
                </c:pt>
                <c:pt idx="11">
                  <c:v>44886</c:v>
                </c:pt>
                <c:pt idx="12">
                  <c:v>44893</c:v>
                </c:pt>
                <c:pt idx="13">
                  <c:v>44895</c:v>
                </c:pt>
                <c:pt idx="14">
                  <c:v>44902</c:v>
                </c:pt>
              </c:numCache>
            </c:numRef>
          </c:cat>
          <c:val>
            <c:numRef>
              <c:f>'Palmetto Dashboard'!$C$16:$Q$16</c:f>
              <c:numCache>
                <c:formatCode>_("$"* #,##0_);_("$"* \(#,##0\);_("$"* "-"??_);_(@_)</c:formatCode>
                <c:ptCount val="15"/>
                <c:pt idx="0">
                  <c:v>682949</c:v>
                </c:pt>
                <c:pt idx="1">
                  <c:v>1091229</c:v>
                </c:pt>
                <c:pt idx="2">
                  <c:v>1115607</c:v>
                </c:pt>
                <c:pt idx="3">
                  <c:v>593679</c:v>
                </c:pt>
                <c:pt idx="4">
                  <c:v>820296</c:v>
                </c:pt>
                <c:pt idx="5">
                  <c:v>379804</c:v>
                </c:pt>
                <c:pt idx="6">
                  <c:v>379805</c:v>
                </c:pt>
                <c:pt idx="7">
                  <c:v>1077870</c:v>
                </c:pt>
                <c:pt idx="8">
                  <c:v>1192771</c:v>
                </c:pt>
                <c:pt idx="9">
                  <c:v>858370</c:v>
                </c:pt>
                <c:pt idx="10">
                  <c:v>1069845</c:v>
                </c:pt>
                <c:pt idx="11">
                  <c:v>1065902.45</c:v>
                </c:pt>
                <c:pt idx="12">
                  <c:v>669924</c:v>
                </c:pt>
                <c:pt idx="13">
                  <c:v>908529</c:v>
                </c:pt>
                <c:pt idx="14">
                  <c:v>1236499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13D-4E43-B322-31D9587DD15B}"/>
            </c:ext>
          </c:extLst>
        </c:ser>
        <c:ser>
          <c:idx val="3"/>
          <c:order val="3"/>
          <c:tx>
            <c:strRef>
              <c:f>'Palmetto Dashboard'!$B$18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-8.3629948823491576E-2"/>
                  <c:y val="-4.46320817614840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13D-4E43-B322-31D9587DD1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'Palmetto Dashboard'!$C$13:$Q$13</c:f>
              <c:numCache>
                <c:formatCode>m/d/yy</c:formatCode>
                <c:ptCount val="15"/>
                <c:pt idx="0">
                  <c:v>44841</c:v>
                </c:pt>
                <c:pt idx="1">
                  <c:v>44844</c:v>
                </c:pt>
                <c:pt idx="2">
                  <c:v>44845</c:v>
                </c:pt>
                <c:pt idx="3">
                  <c:v>44846</c:v>
                </c:pt>
                <c:pt idx="4">
                  <c:v>44851</c:v>
                </c:pt>
                <c:pt idx="5">
                  <c:v>44852</c:v>
                </c:pt>
                <c:pt idx="6">
                  <c:v>44853</c:v>
                </c:pt>
                <c:pt idx="7">
                  <c:v>44855</c:v>
                </c:pt>
                <c:pt idx="8">
                  <c:v>44865</c:v>
                </c:pt>
                <c:pt idx="9">
                  <c:v>44866</c:v>
                </c:pt>
                <c:pt idx="10">
                  <c:v>44872</c:v>
                </c:pt>
                <c:pt idx="11">
                  <c:v>44886</c:v>
                </c:pt>
                <c:pt idx="12">
                  <c:v>44893</c:v>
                </c:pt>
                <c:pt idx="13">
                  <c:v>44895</c:v>
                </c:pt>
                <c:pt idx="14">
                  <c:v>44902</c:v>
                </c:pt>
              </c:numCache>
            </c:numRef>
          </c:cat>
          <c:val>
            <c:numRef>
              <c:f>'Palmetto Dashboard'!$C$18:$Q$18</c:f>
              <c:numCache>
                <c:formatCode>_("$"* #,##0_);_("$"* \(#,##0\);_("$"* "-"??_);_(@_)</c:formatCode>
                <c:ptCount val="15"/>
                <c:pt idx="0">
                  <c:v>4943671</c:v>
                </c:pt>
                <c:pt idx="1">
                  <c:v>6267719</c:v>
                </c:pt>
                <c:pt idx="2">
                  <c:v>6341867</c:v>
                </c:pt>
                <c:pt idx="3">
                  <c:v>5745284</c:v>
                </c:pt>
                <c:pt idx="4">
                  <c:v>7548648</c:v>
                </c:pt>
                <c:pt idx="5">
                  <c:v>6291964</c:v>
                </c:pt>
                <c:pt idx="6">
                  <c:v>6616349</c:v>
                </c:pt>
                <c:pt idx="7">
                  <c:v>7689374</c:v>
                </c:pt>
                <c:pt idx="8">
                  <c:v>6881695</c:v>
                </c:pt>
                <c:pt idx="9">
                  <c:v>4586384</c:v>
                </c:pt>
                <c:pt idx="10">
                  <c:v>5219161</c:v>
                </c:pt>
                <c:pt idx="11">
                  <c:v>8893314.4499999993</c:v>
                </c:pt>
                <c:pt idx="12">
                  <c:v>9391680</c:v>
                </c:pt>
                <c:pt idx="13">
                  <c:v>9812753</c:v>
                </c:pt>
                <c:pt idx="14">
                  <c:v>8527143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13D-4E43-B322-31D9587DD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57648"/>
        <c:axId val="171453488"/>
      </c:lineChart>
      <c:catAx>
        <c:axId val="17145764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53488"/>
        <c:crosses val="autoZero"/>
        <c:auto val="0"/>
        <c:lblAlgn val="ctr"/>
        <c:lblOffset val="100"/>
        <c:noMultiLvlLbl val="1"/>
      </c:catAx>
      <c:valAx>
        <c:axId val="1714534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5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9615629751432044"/>
          <c:y val="8.3573066499895765E-2"/>
          <c:w val="0.23774739081238291"/>
          <c:h val="4.560166376951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 Aging'!$B$11:$J$11</c:f>
              <c:strCache>
                <c:ptCount val="9"/>
                <c:pt idx="0">
                  <c:v>0-30</c:v>
                </c:pt>
                <c:pt idx="1">
                  <c:v>31-60</c:v>
                </c:pt>
                <c:pt idx="2">
                  <c:v>61-90</c:v>
                </c:pt>
                <c:pt idx="3">
                  <c:v>91-120</c:v>
                </c:pt>
                <c:pt idx="4">
                  <c:v>121-150</c:v>
                </c:pt>
                <c:pt idx="5">
                  <c:v>151-180</c:v>
                </c:pt>
                <c:pt idx="6">
                  <c:v>181-210</c:v>
                </c:pt>
                <c:pt idx="7">
                  <c:v>211-240</c:v>
                </c:pt>
                <c:pt idx="8">
                  <c:v>241+</c:v>
                </c:pt>
              </c:strCache>
            </c:strRef>
          </c:cat>
          <c:val>
            <c:numRef>
              <c:f>'AR Aging'!$B$12:$J$12</c:f>
              <c:numCache>
                <c:formatCode>_("$"* #,##0_);_("$"* \(#,##0\);_("$"* "-"??_);_(@_)</c:formatCode>
                <c:ptCount val="9"/>
                <c:pt idx="0">
                  <c:v>12404</c:v>
                </c:pt>
                <c:pt idx="1">
                  <c:v>9176</c:v>
                </c:pt>
                <c:pt idx="2">
                  <c:v>2886</c:v>
                </c:pt>
                <c:pt idx="3">
                  <c:v>1198</c:v>
                </c:pt>
                <c:pt idx="4">
                  <c:v>698</c:v>
                </c:pt>
                <c:pt idx="5">
                  <c:v>481</c:v>
                </c:pt>
                <c:pt idx="6">
                  <c:v>311</c:v>
                </c:pt>
                <c:pt idx="7">
                  <c:v>197</c:v>
                </c:pt>
                <c:pt idx="8">
                  <c:v>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63-4312-B14A-81C4997E3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026069983"/>
        <c:axId val="2026072383"/>
      </c:barChart>
      <c:catAx>
        <c:axId val="202606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72383"/>
        <c:crosses val="autoZero"/>
        <c:auto val="1"/>
        <c:lblAlgn val="ctr"/>
        <c:lblOffset val="100"/>
        <c:noMultiLvlLbl val="0"/>
      </c:catAx>
      <c:valAx>
        <c:axId val="2026072383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 in Thousands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202606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Unbilled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 Aging'!$B$3:$J$3</c:f>
              <c:strCache>
                <c:ptCount val="9"/>
                <c:pt idx="0">
                  <c:v>0-30</c:v>
                </c:pt>
                <c:pt idx="1">
                  <c:v>31-60</c:v>
                </c:pt>
                <c:pt idx="2">
                  <c:v>61-90</c:v>
                </c:pt>
                <c:pt idx="3">
                  <c:v>91-120</c:v>
                </c:pt>
                <c:pt idx="4">
                  <c:v>121-150</c:v>
                </c:pt>
                <c:pt idx="5">
                  <c:v>151-180</c:v>
                </c:pt>
                <c:pt idx="6">
                  <c:v>181-210</c:v>
                </c:pt>
                <c:pt idx="7">
                  <c:v>211-240</c:v>
                </c:pt>
                <c:pt idx="8">
                  <c:v>241+</c:v>
                </c:pt>
              </c:strCache>
            </c:strRef>
          </c:cat>
          <c:val>
            <c:numRef>
              <c:f>'AR Aging'!$B$4:$J$4</c:f>
              <c:numCache>
                <c:formatCode>_("$"* #,##0_);_("$"* \(#,##0\);_("$"* "-"??_);_(@_)</c:formatCode>
                <c:ptCount val="9"/>
                <c:pt idx="0">
                  <c:v>11158</c:v>
                </c:pt>
                <c:pt idx="1">
                  <c:v>4236</c:v>
                </c:pt>
                <c:pt idx="2">
                  <c:v>1341</c:v>
                </c:pt>
                <c:pt idx="3">
                  <c:v>594</c:v>
                </c:pt>
                <c:pt idx="4">
                  <c:v>302</c:v>
                </c:pt>
                <c:pt idx="5">
                  <c:v>193</c:v>
                </c:pt>
                <c:pt idx="6">
                  <c:v>145</c:v>
                </c:pt>
                <c:pt idx="7">
                  <c:v>75</c:v>
                </c:pt>
                <c:pt idx="8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9-4A14-B4AA-E507B497A0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129192240"/>
        <c:axId val="1129196560"/>
      </c:barChart>
      <c:catAx>
        <c:axId val="112919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196560"/>
        <c:crosses val="autoZero"/>
        <c:auto val="1"/>
        <c:lblAlgn val="ctr"/>
        <c:lblOffset val="100"/>
        <c:noMultiLvlLbl val="0"/>
      </c:catAx>
      <c:valAx>
        <c:axId val="11291965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Thousands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192240"/>
        <c:crosses val="autoZero"/>
        <c:crossBetween val="between"/>
        <c:minorUnit val="2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Billed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16965587634881"/>
          <c:y val="4.3650793650793648E-2"/>
          <c:w val="0.82368219597550307"/>
          <c:h val="0.864292588426446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 Aging'!$B$7:$J$7</c:f>
              <c:strCache>
                <c:ptCount val="9"/>
                <c:pt idx="0">
                  <c:v>0-30</c:v>
                </c:pt>
                <c:pt idx="1">
                  <c:v>31-60</c:v>
                </c:pt>
                <c:pt idx="2">
                  <c:v>61-90</c:v>
                </c:pt>
                <c:pt idx="3">
                  <c:v>91-120</c:v>
                </c:pt>
                <c:pt idx="4">
                  <c:v>121-150</c:v>
                </c:pt>
                <c:pt idx="5">
                  <c:v>151-180</c:v>
                </c:pt>
                <c:pt idx="6">
                  <c:v>181-210</c:v>
                </c:pt>
                <c:pt idx="7">
                  <c:v>211-240</c:v>
                </c:pt>
                <c:pt idx="8">
                  <c:v>241+</c:v>
                </c:pt>
              </c:strCache>
            </c:strRef>
          </c:cat>
          <c:val>
            <c:numRef>
              <c:f>'AR Aging'!$B$8:$J$8</c:f>
              <c:numCache>
                <c:formatCode>_("$"* #,##0_);_("$"* \(#,##0\);_("$"* "-"??_);_(@_)</c:formatCode>
                <c:ptCount val="9"/>
                <c:pt idx="0">
                  <c:v>1246</c:v>
                </c:pt>
                <c:pt idx="1">
                  <c:v>4940</c:v>
                </c:pt>
                <c:pt idx="2">
                  <c:v>1545</c:v>
                </c:pt>
                <c:pt idx="3">
                  <c:v>604</c:v>
                </c:pt>
                <c:pt idx="4">
                  <c:v>396</c:v>
                </c:pt>
                <c:pt idx="5">
                  <c:v>288</c:v>
                </c:pt>
                <c:pt idx="6">
                  <c:v>166</c:v>
                </c:pt>
                <c:pt idx="7">
                  <c:v>122</c:v>
                </c:pt>
                <c:pt idx="8">
                  <c:v>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E-4816-B46B-30D4CD1287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129192240"/>
        <c:axId val="1129196560"/>
      </c:barChart>
      <c:catAx>
        <c:axId val="112919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196560"/>
        <c:crosses val="autoZero"/>
        <c:auto val="1"/>
        <c:lblAlgn val="ctr"/>
        <c:lblOffset val="100"/>
        <c:noMultiLvlLbl val="0"/>
      </c:catAx>
      <c:valAx>
        <c:axId val="1129196560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Thousands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192240"/>
        <c:crosses val="autoZero"/>
        <c:crossBetween val="between"/>
        <c:minorUnit val="2000"/>
      </c:valAx>
      <c:spPr>
        <a:noFill/>
        <a:ln w="9525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4.8276416296692146E-2"/>
          <c:y val="3.5991824677303795E-2"/>
          <c:w val="0.90740477185733781"/>
          <c:h val="0.775722858147062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'Cash Collected'!$AA$14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rgbClr val="3E446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'Cash Collected'!$AB$13:$AE$13</c:f>
              <c:numCache>
                <c:formatCode>[$-409]mmm\-yy;@</c:formatCode>
                <c:ptCount val="4"/>
                <c:pt idx="0">
                  <c:v>45748</c:v>
                </c:pt>
                <c:pt idx="1">
                  <c:v>45779</c:v>
                </c:pt>
                <c:pt idx="2">
                  <c:v>45809</c:v>
                </c:pt>
                <c:pt idx="3">
                  <c:v>45840</c:v>
                </c:pt>
              </c:numCache>
            </c:numRef>
          </c:cat>
          <c:val>
            <c:numRef>
              <c:f>'Cash Collected'!$AB$14:$AE$14</c:f>
              <c:numCache>
                <c:formatCode>"$"#,##0_);\("$"#,##0\)</c:formatCode>
                <c:ptCount val="4"/>
                <c:pt idx="0">
                  <c:v>12089.52132</c:v>
                </c:pt>
                <c:pt idx="1">
                  <c:v>12777.009</c:v>
                </c:pt>
                <c:pt idx="2">
                  <c:v>11770.17116</c:v>
                </c:pt>
                <c:pt idx="3">
                  <c:v>12605.729810000001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1D-4CD5-B54C-33CC720F9685}"/>
            </c:ext>
          </c:extLst>
        </c:ser>
        <c:ser>
          <c:idx val="1"/>
          <c:order val="1"/>
          <c:tx>
            <c:strRef>
              <c:f>'Cash Collected'!$AA$15</c:f>
              <c:strCache>
                <c:ptCount val="1"/>
                <c:pt idx="0">
                  <c:v>Palmetto</c:v>
                </c:pt>
              </c:strCache>
            </c:strRef>
          </c:tx>
          <c:spPr>
            <a:solidFill>
              <a:srgbClr val="8497B0"/>
            </a:solidFill>
            <a:ln>
              <a:noFill/>
            </a:ln>
            <a:effectLst/>
          </c:spPr>
          <c:invertIfNegative val="0"/>
          <c:cat>
            <c:numRef>
              <c:f>'Cash Collected'!$AB$13:$AE$13</c:f>
              <c:numCache>
                <c:formatCode>[$-409]mmm\-yy;@</c:formatCode>
                <c:ptCount val="4"/>
                <c:pt idx="0">
                  <c:v>45748</c:v>
                </c:pt>
                <c:pt idx="1">
                  <c:v>45779</c:v>
                </c:pt>
                <c:pt idx="2">
                  <c:v>45809</c:v>
                </c:pt>
                <c:pt idx="3">
                  <c:v>45840</c:v>
                </c:pt>
              </c:numCache>
            </c:numRef>
          </c:cat>
          <c:val>
            <c:numRef>
              <c:f>'Cash Collected'!$AB$15:$AE$15</c:f>
              <c:numCache>
                <c:formatCode>"$"#,##0_);\("$"#,##0\)</c:formatCode>
                <c:ptCount val="4"/>
                <c:pt idx="0">
                  <c:v>7701.4616999999998</c:v>
                </c:pt>
                <c:pt idx="1">
                  <c:v>7705.1080000000002</c:v>
                </c:pt>
                <c:pt idx="2">
                  <c:v>7541.2245400000002</c:v>
                </c:pt>
                <c:pt idx="3">
                  <c:v>7389.5022800000006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D-4CD5-B54C-33CC720F9685}"/>
            </c:ext>
          </c:extLst>
        </c:ser>
        <c:ser>
          <c:idx val="2"/>
          <c:order val="2"/>
          <c:tx>
            <c:strRef>
              <c:f>'Cash Collected'!$AA$16</c:f>
              <c:strCache>
                <c:ptCount val="1"/>
                <c:pt idx="0">
                  <c:v>Advantage</c:v>
                </c:pt>
              </c:strCache>
            </c:strRef>
          </c:tx>
          <c:spPr>
            <a:solidFill>
              <a:srgbClr val="8EC643"/>
            </a:solidFill>
            <a:ln>
              <a:noFill/>
            </a:ln>
            <a:effectLst/>
          </c:spPr>
          <c:invertIfNegative val="0"/>
          <c:cat>
            <c:numRef>
              <c:f>'Cash Collected'!$AB$13:$AE$13</c:f>
              <c:numCache>
                <c:formatCode>[$-409]mmm\-yy;@</c:formatCode>
                <c:ptCount val="4"/>
                <c:pt idx="0">
                  <c:v>45748</c:v>
                </c:pt>
                <c:pt idx="1">
                  <c:v>45779</c:v>
                </c:pt>
                <c:pt idx="2">
                  <c:v>45809</c:v>
                </c:pt>
                <c:pt idx="3">
                  <c:v>45840</c:v>
                </c:pt>
              </c:numCache>
            </c:numRef>
          </c:cat>
          <c:val>
            <c:numRef>
              <c:f>'Cash Collected'!$AB$16:$AE$16</c:f>
              <c:numCache>
                <c:formatCode>"$"#,##0_);\("$"#,##0\)</c:formatCode>
                <c:ptCount val="4"/>
                <c:pt idx="0">
                  <c:v>2094.9997100000001</c:v>
                </c:pt>
                <c:pt idx="1">
                  <c:v>1956.511</c:v>
                </c:pt>
                <c:pt idx="2">
                  <c:v>1824.9943799999999</c:v>
                </c:pt>
                <c:pt idx="3">
                  <c:v>2089.7749100000001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62-41B9-96C4-203334EDE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2517904"/>
        <c:axId val="692515280"/>
      </c:barChart>
      <c:lineChart>
        <c:grouping val="standard"/>
        <c:varyColors val="0"/>
        <c:ser>
          <c:idx val="3"/>
          <c:order val="3"/>
          <c:tx>
            <c:strRef>
              <c:f>'Cash Collected'!$AA$17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'Cash Collected'!$AB$13:$AE$13</c:f>
              <c:numCache>
                <c:formatCode>[$-409]mmm\-yy;@</c:formatCode>
                <c:ptCount val="4"/>
                <c:pt idx="0">
                  <c:v>45748</c:v>
                </c:pt>
                <c:pt idx="1">
                  <c:v>45779</c:v>
                </c:pt>
                <c:pt idx="2">
                  <c:v>45809</c:v>
                </c:pt>
                <c:pt idx="3">
                  <c:v>45840</c:v>
                </c:pt>
              </c:numCache>
            </c:numRef>
          </c:cat>
          <c:val>
            <c:numRef>
              <c:f>'Cash Collected'!$AB$17:$AE$17</c:f>
              <c:numCache>
                <c:formatCode>"$"#,##0_);\("$"#,##0\)</c:formatCode>
                <c:ptCount val="4"/>
                <c:pt idx="0">
                  <c:v>2293.0599099999999</c:v>
                </c:pt>
                <c:pt idx="1">
                  <c:v>3115.35</c:v>
                </c:pt>
                <c:pt idx="2">
                  <c:v>2403.9522400000001</c:v>
                </c:pt>
                <c:pt idx="3">
                  <c:v>3126.45262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E62-41B9-96C4-203334EDE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4871631"/>
        <c:axId val="1044872111"/>
      </c:lineChart>
      <c:dateAx>
        <c:axId val="692517904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38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515280"/>
        <c:crosses val="autoZero"/>
        <c:auto val="1"/>
        <c:lblOffset val="100"/>
        <c:baseTimeUnit val="months"/>
      </c:dateAx>
      <c:valAx>
        <c:axId val="69251528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 in</a:t>
                </a:r>
                <a:r>
                  <a:rPr lang="en-US" baseline="0"/>
                  <a:t> Thousands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\(&quot;$&quot;#,##0\)" sourceLinked="1"/>
        <c:majorTickMark val="none"/>
        <c:minorTickMark val="none"/>
        <c:tickLblPos val="nextTo"/>
        <c:crossAx val="692517904"/>
        <c:crosses val="autoZero"/>
        <c:crossBetween val="between"/>
      </c:valAx>
      <c:valAx>
        <c:axId val="1044872111"/>
        <c:scaling>
          <c:orientation val="minMax"/>
        </c:scaling>
        <c:delete val="1"/>
        <c:axPos val="r"/>
        <c:numFmt formatCode="&quot;$&quot;#,##0_);\(&quot;$&quot;#,##0\)" sourceLinked="1"/>
        <c:majorTickMark val="out"/>
        <c:minorTickMark val="none"/>
        <c:tickLblPos val="nextTo"/>
        <c:crossAx val="1044871631"/>
        <c:crosses val="max"/>
        <c:crossBetween val="between"/>
      </c:valAx>
      <c:dateAx>
        <c:axId val="1044871631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0448721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0.3228774597514209"/>
          <c:y val="0.92040014315664687"/>
          <c:w val="0.41774907603773481"/>
          <c:h val="7.47196310087831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Collections</a:t>
            </a:r>
          </a:p>
        </c:rich>
      </c:tx>
      <c:layout>
        <c:manualLayout>
          <c:xMode val="edge"/>
          <c:yMode val="edge"/>
          <c:x val="0.41996925628683407"/>
          <c:y val="3.34203710319065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F0E-4F6C-A432-09F232A011B6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DF0E-4F6C-A432-09F232A011B6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F0E-4F6C-A432-09F232A011B6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F0E-4F6C-A432-09F232A011B6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F0E-4F6C-A432-09F232A011B6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F0E-4F6C-A432-09F232A011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'Collections by Payer Type'!$A$4:$A$6</c:f>
              <c:strCache>
                <c:ptCount val="3"/>
                <c:pt idx="0">
                  <c:v> Medicare Traditional </c:v>
                </c:pt>
                <c:pt idx="1">
                  <c:v> Medicare (Advantage/PFFS) </c:v>
                </c:pt>
                <c:pt idx="2">
                  <c:v> Medicare (HMO/Per Visit) </c:v>
                </c:pt>
              </c:strCache>
            </c:strRef>
          </c:cat>
          <c:val>
            <c:numRef>
              <c:f>'Collections by Payer Type'!$B$4:$B$6</c:f>
              <c:numCache>
                <c:formatCode>0%</c:formatCode>
                <c:ptCount val="3"/>
                <c:pt idx="0">
                  <c:v>0.57623869645837444</c:v>
                </c:pt>
                <c:pt idx="1">
                  <c:v>0.18149413807847006</c:v>
                </c:pt>
                <c:pt idx="2">
                  <c:v>0.24226716546315549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E-4F6C-A432-09F232A01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1238251</xdr:colOff>
      <xdr:row>25</xdr:row>
      <xdr:rowOff>20955</xdr:rowOff>
    </xdr:from>
    <xdr:to>
      <xdr:col>16</xdr:col>
      <xdr:colOff>942975</xdr:colOff>
      <xdr:row>57</xdr:row>
      <xdr:rowOff>20955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D61A6A-2C4D-4FDD-B0E5-A3E454DC5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1228725</xdr:colOff>
      <xdr:row>57</xdr:row>
      <xdr:rowOff>112394</xdr:rowOff>
    </xdr:from>
    <xdr:to>
      <xdr:col>16</xdr:col>
      <xdr:colOff>941070</xdr:colOff>
      <xdr:row>91</xdr:row>
      <xdr:rowOff>49529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C8DA10-9171-4253-B775-0B246A19FD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300991</xdr:colOff>
      <xdr:row>18</xdr:row>
      <xdr:rowOff>152400</xdr:rowOff>
    </xdr:from>
    <xdr:to>
      <xdr:col>16</xdr:col>
      <xdr:colOff>438150</xdr:colOff>
      <xdr:row>32</xdr:row>
      <xdr:rowOff>42861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177EB7-51BF-43AD-277A-7710535DA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156210</xdr:colOff>
      <xdr:row>14</xdr:row>
      <xdr:rowOff>125730</xdr:rowOff>
    </xdr:from>
    <xdr:to>
      <xdr:col>4</xdr:col>
      <xdr:colOff>857250</xdr:colOff>
      <xdr:row>32</xdr:row>
      <xdr:rowOff>34290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5E8E92-0A7C-7404-DB3D-C99E3430E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289560</xdr:colOff>
      <xdr:row>14</xdr:row>
      <xdr:rowOff>121920</xdr:rowOff>
    </xdr:from>
    <xdr:to>
      <xdr:col>10</xdr:col>
      <xdr:colOff>144780</xdr:colOff>
      <xdr:row>32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733758-C5FF-4F11-AD34-1CF33A1AB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981076</xdr:colOff>
      <xdr:row>17</xdr:row>
      <xdr:rowOff>169070</xdr:rowOff>
    </xdr:from>
    <xdr:to>
      <xdr:col>32</xdr:col>
      <xdr:colOff>228600</xdr:colOff>
      <xdr:row>38</xdr:row>
      <xdr:rowOff>11906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3D93FC-8D36-4322-AD23-2D206001F5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674052</xdr:colOff>
      <xdr:row>8</xdr:row>
      <xdr:rowOff>92710</xdr:rowOff>
    </xdr:from>
    <xdr:to>
      <xdr:col>7</xdr:col>
      <xdr:colOff>518160</xdr:colOff>
      <xdr:row>24</xdr:row>
      <xdr:rowOff>135572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DA06D2-330F-5233-CFCA-BEEFB4DF6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EC52F-4297-41E7-ACB6-4194BAFEA82D}">
  <sheetPr>
    <tabColor rgb="FF0070C0"/>
  </sheetPr>
  <dimension ref="B2:V25"/>
  <sheetViews>
    <sheetView showGridLines="0" workbookViewId="0">
      <pane xSplit="2" topLeftCell="O1" activePane="topRight" state="frozen"/>
      <selection pane="topRight" activeCell="B7" sqref="B7"/>
    </sheetView>
  </sheetViews>
  <sheetFormatPr baseColWidth="10" defaultColWidth="8.83203125" defaultRowHeight="15" x14ac:dyDescent="0.2"/>
  <cols>
    <col min="1" max="1" width="8.83203125" style="10"/>
    <col min="2" max="2" width="46.5" style="10" bestFit="1" customWidth="1"/>
    <col min="3" max="3" width="14.1640625" style="10" bestFit="1" customWidth="1"/>
    <col min="4" max="4" width="12.5" style="10" customWidth="1"/>
    <col min="5" max="5" width="13.6640625" style="10" bestFit="1" customWidth="1"/>
    <col min="6" max="6" width="11.33203125" style="10" customWidth="1"/>
    <col min="7" max="7" width="13.6640625" style="10" bestFit="1" customWidth="1"/>
    <col min="8" max="8" width="12.1640625" style="10" bestFit="1" customWidth="1"/>
    <col min="9" max="11" width="11.5" style="10" bestFit="1" customWidth="1"/>
    <col min="12" max="12" width="12.1640625" style="10" customWidth="1"/>
    <col min="13" max="13" width="11.5" style="10" bestFit="1" customWidth="1"/>
    <col min="14" max="16" width="13.83203125" style="10" bestFit="1" customWidth="1"/>
    <col min="17" max="20" width="14.1640625" style="10" bestFit="1" customWidth="1"/>
    <col min="21" max="21" width="78.33203125" style="10" bestFit="1" customWidth="1"/>
    <col min="22" max="22" width="12.1640625" style="10" bestFit="1" customWidth="1"/>
    <col min="23" max="16384" width="8.83203125" style="10"/>
  </cols>
  <sheetData>
    <row r="2" spans="2:22" ht="47.5" customHeight="1" x14ac:dyDescent="0.25">
      <c r="B2" s="9" t="s">
        <v>0</v>
      </c>
      <c r="L2" s="11"/>
      <c r="O2" s="12" t="s">
        <v>1</v>
      </c>
      <c r="P2" s="12"/>
      <c r="Q2" s="12"/>
      <c r="R2" s="12"/>
      <c r="S2" s="12"/>
      <c r="T2" s="12"/>
    </row>
    <row r="3" spans="2:22" x14ac:dyDescent="0.2">
      <c r="B3" s="13" t="s">
        <v>2</v>
      </c>
      <c r="C3" s="14">
        <v>44841</v>
      </c>
      <c r="D3" s="14">
        <f>C3+3</f>
        <v>44844</v>
      </c>
      <c r="E3" s="14">
        <f>D3+1</f>
        <v>44845</v>
      </c>
      <c r="F3" s="14">
        <f>E3+1</f>
        <v>44846</v>
      </c>
      <c r="G3" s="14">
        <f>F3+5</f>
        <v>44851</v>
      </c>
      <c r="H3" s="14">
        <f>G3+1</f>
        <v>44852</v>
      </c>
      <c r="I3" s="14">
        <f>H3+1</f>
        <v>44853</v>
      </c>
      <c r="J3" s="14">
        <f>I3+2</f>
        <v>44855</v>
      </c>
      <c r="K3" s="14">
        <v>44865</v>
      </c>
      <c r="L3" s="14">
        <f>K3+1</f>
        <v>44866</v>
      </c>
      <c r="M3" s="14">
        <v>44872</v>
      </c>
      <c r="N3" s="14">
        <v>44886</v>
      </c>
      <c r="O3" s="14">
        <v>44893</v>
      </c>
      <c r="P3" s="14">
        <v>44895</v>
      </c>
      <c r="Q3" s="14">
        <v>44902</v>
      </c>
      <c r="R3" s="14">
        <v>44586</v>
      </c>
      <c r="S3" s="14">
        <v>44957</v>
      </c>
      <c r="T3" s="14">
        <v>44990</v>
      </c>
    </row>
    <row r="4" spans="2:22" x14ac:dyDescent="0.2">
      <c r="B4" s="15" t="s">
        <v>3</v>
      </c>
      <c r="C4" s="16">
        <v>1790</v>
      </c>
      <c r="D4" s="16">
        <v>2352</v>
      </c>
      <c r="E4" s="16">
        <v>2477</v>
      </c>
      <c r="F4" s="16">
        <v>2283</v>
      </c>
      <c r="G4" s="16">
        <v>2394</v>
      </c>
      <c r="H4" s="16">
        <v>2187</v>
      </c>
      <c r="I4" s="16">
        <v>2562</v>
      </c>
      <c r="J4" s="16">
        <v>2675</v>
      </c>
      <c r="K4" s="16">
        <v>2484</v>
      </c>
      <c r="L4" s="16">
        <v>1394</v>
      </c>
      <c r="M4" s="16">
        <v>1628</v>
      </c>
      <c r="N4" s="16">
        <v>2187</v>
      </c>
      <c r="O4" s="16">
        <v>3122</v>
      </c>
      <c r="P4" s="16">
        <v>2835</v>
      </c>
      <c r="Q4" s="16">
        <v>2153</v>
      </c>
      <c r="R4" s="16">
        <f>1644+573</f>
        <v>2217</v>
      </c>
      <c r="S4" s="16">
        <v>1663</v>
      </c>
      <c r="T4" s="16">
        <v>1300</v>
      </c>
      <c r="V4" s="17"/>
    </row>
    <row r="5" spans="2:22" x14ac:dyDescent="0.2">
      <c r="B5" s="15" t="s">
        <v>4</v>
      </c>
      <c r="C5" s="16">
        <v>568</v>
      </c>
      <c r="D5" s="16">
        <v>558</v>
      </c>
      <c r="E5" s="16">
        <v>463</v>
      </c>
      <c r="F5" s="16">
        <v>612</v>
      </c>
      <c r="G5" s="16">
        <v>1264</v>
      </c>
      <c r="H5" s="16">
        <v>1203</v>
      </c>
      <c r="I5" s="16">
        <f>162+852</f>
        <v>1014</v>
      </c>
      <c r="J5" s="16">
        <f>192+924</f>
        <v>1116</v>
      </c>
      <c r="K5" s="16">
        <f>170+655</f>
        <v>825</v>
      </c>
      <c r="L5" s="16">
        <f>75+695</f>
        <v>770</v>
      </c>
      <c r="M5" s="16">
        <v>782</v>
      </c>
      <c r="N5" s="16">
        <f>761</f>
        <v>761</v>
      </c>
      <c r="O5" s="16">
        <f>602+250</f>
        <v>852</v>
      </c>
      <c r="P5" s="16">
        <f>862+245</f>
        <v>1107</v>
      </c>
      <c r="Q5" s="16">
        <v>841</v>
      </c>
      <c r="R5" s="16">
        <v>535</v>
      </c>
      <c r="S5" s="16">
        <v>583</v>
      </c>
      <c r="T5" s="16">
        <v>555</v>
      </c>
      <c r="V5" s="17"/>
    </row>
    <row r="6" spans="2:22" x14ac:dyDescent="0.2">
      <c r="B6" s="15" t="s">
        <v>5</v>
      </c>
      <c r="C6" s="16">
        <v>572</v>
      </c>
      <c r="D6" s="16">
        <v>659</v>
      </c>
      <c r="E6" s="16">
        <v>840</v>
      </c>
      <c r="F6" s="16">
        <v>358</v>
      </c>
      <c r="G6" s="16">
        <v>488</v>
      </c>
      <c r="H6" s="16">
        <v>209</v>
      </c>
      <c r="I6" s="16">
        <v>343</v>
      </c>
      <c r="J6" s="16">
        <v>660</v>
      </c>
      <c r="K6" s="16">
        <v>703</v>
      </c>
      <c r="L6" s="16">
        <v>516</v>
      </c>
      <c r="M6" s="16">
        <v>529</v>
      </c>
      <c r="N6" s="16">
        <v>690</v>
      </c>
      <c r="O6" s="16">
        <f>318+63</f>
        <v>381</v>
      </c>
      <c r="P6" s="16">
        <v>485</v>
      </c>
      <c r="Q6" s="16">
        <v>740</v>
      </c>
      <c r="R6" s="16">
        <v>859</v>
      </c>
      <c r="S6" s="16">
        <v>889</v>
      </c>
      <c r="T6" s="16">
        <v>700</v>
      </c>
    </row>
    <row r="7" spans="2:22" x14ac:dyDescent="0.2">
      <c r="B7" s="15" t="s">
        <v>6</v>
      </c>
      <c r="C7" s="16">
        <v>200</v>
      </c>
      <c r="D7" s="16">
        <v>200</v>
      </c>
      <c r="E7" s="16">
        <v>200</v>
      </c>
      <c r="F7" s="16">
        <v>200</v>
      </c>
      <c r="G7" s="16">
        <v>200</v>
      </c>
      <c r="H7" s="16">
        <v>200</v>
      </c>
      <c r="I7" s="16">
        <v>200</v>
      </c>
      <c r="J7" s="16">
        <f>400+75</f>
        <v>475</v>
      </c>
      <c r="K7" s="16">
        <v>475</v>
      </c>
      <c r="L7" s="16">
        <v>575</v>
      </c>
      <c r="M7" s="16">
        <f>440+102</f>
        <v>542</v>
      </c>
      <c r="N7" s="16">
        <v>954</v>
      </c>
      <c r="O7" s="16">
        <v>400</v>
      </c>
      <c r="P7" s="16">
        <v>500</v>
      </c>
      <c r="Q7" s="16">
        <v>646</v>
      </c>
      <c r="R7" s="16">
        <f>280+178+120</f>
        <v>578</v>
      </c>
      <c r="S7" s="16">
        <f>108+555</f>
        <v>663</v>
      </c>
      <c r="T7" s="16">
        <v>500</v>
      </c>
      <c r="U7" s="12" t="s">
        <v>7</v>
      </c>
    </row>
    <row r="8" spans="2:22" s="20" customFormat="1" x14ac:dyDescent="0.2">
      <c r="B8" s="18" t="s">
        <v>8</v>
      </c>
      <c r="C8" s="19">
        <f>SUM(C4:C7)</f>
        <v>3130</v>
      </c>
      <c r="D8" s="19">
        <f>SUM(D4:D7)</f>
        <v>3769</v>
      </c>
      <c r="E8" s="19">
        <f>SUM(E4:E7)</f>
        <v>3980</v>
      </c>
      <c r="F8" s="19">
        <f>SUM(F4:F7)</f>
        <v>3453</v>
      </c>
      <c r="G8" s="19">
        <f>SUM(G4:G7)</f>
        <v>4346</v>
      </c>
      <c r="H8" s="19">
        <f t="shared" ref="H8:M8" si="0">SUM(H4:H6)</f>
        <v>3599</v>
      </c>
      <c r="I8" s="19">
        <f t="shared" si="0"/>
        <v>3919</v>
      </c>
      <c r="J8" s="19">
        <f t="shared" si="0"/>
        <v>4451</v>
      </c>
      <c r="K8" s="19">
        <f t="shared" si="0"/>
        <v>4012</v>
      </c>
      <c r="L8" s="19">
        <f t="shared" si="0"/>
        <v>2680</v>
      </c>
      <c r="M8" s="19">
        <f t="shared" si="0"/>
        <v>2939</v>
      </c>
      <c r="N8" s="19">
        <f t="shared" ref="N8:S8" si="1">SUM(N4:N7)</f>
        <v>4592</v>
      </c>
      <c r="O8" s="19">
        <f t="shared" si="1"/>
        <v>4755</v>
      </c>
      <c r="P8" s="19">
        <f t="shared" si="1"/>
        <v>4927</v>
      </c>
      <c r="Q8" s="19">
        <f t="shared" si="1"/>
        <v>4380</v>
      </c>
      <c r="R8" s="19">
        <f t="shared" si="1"/>
        <v>4189</v>
      </c>
      <c r="S8" s="19">
        <f t="shared" si="1"/>
        <v>3798</v>
      </c>
      <c r="T8" s="19">
        <f t="shared" ref="T8" si="2">SUM(T4:T7)</f>
        <v>3055</v>
      </c>
    </row>
    <row r="9" spans="2:22" x14ac:dyDescent="0.2">
      <c r="B9" s="18" t="s">
        <v>9</v>
      </c>
      <c r="C9" s="19"/>
      <c r="D9" s="19">
        <f>D8-C8</f>
        <v>639</v>
      </c>
      <c r="E9" s="19">
        <f t="shared" ref="E9:N9" si="3">E8-D8</f>
        <v>211</v>
      </c>
      <c r="F9" s="19">
        <f t="shared" si="3"/>
        <v>-527</v>
      </c>
      <c r="G9" s="19">
        <f t="shared" si="3"/>
        <v>893</v>
      </c>
      <c r="H9" s="19">
        <f t="shared" si="3"/>
        <v>-747</v>
      </c>
      <c r="I9" s="19">
        <f t="shared" si="3"/>
        <v>320</v>
      </c>
      <c r="J9" s="19">
        <f t="shared" si="3"/>
        <v>532</v>
      </c>
      <c r="K9" s="19">
        <f t="shared" si="3"/>
        <v>-439</v>
      </c>
      <c r="L9" s="19">
        <f t="shared" si="3"/>
        <v>-1332</v>
      </c>
      <c r="M9" s="19">
        <f t="shared" si="3"/>
        <v>259</v>
      </c>
      <c r="N9" s="19">
        <f t="shared" si="3"/>
        <v>1653</v>
      </c>
      <c r="O9" s="19">
        <f t="shared" ref="O9:T9" si="4">O8-N8</f>
        <v>163</v>
      </c>
      <c r="P9" s="19">
        <f t="shared" si="4"/>
        <v>172</v>
      </c>
      <c r="Q9" s="19">
        <f t="shared" si="4"/>
        <v>-547</v>
      </c>
      <c r="R9" s="19">
        <f t="shared" si="4"/>
        <v>-191</v>
      </c>
      <c r="S9" s="19">
        <f t="shared" si="4"/>
        <v>-391</v>
      </c>
      <c r="T9" s="19">
        <f t="shared" si="4"/>
        <v>-743</v>
      </c>
    </row>
    <row r="10" spans="2:22" x14ac:dyDescent="0.2">
      <c r="B10" s="24" t="s">
        <v>10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>
        <v>4464</v>
      </c>
      <c r="R10" s="25">
        <v>4243</v>
      </c>
      <c r="S10" s="25">
        <v>3971</v>
      </c>
      <c r="T10" s="25">
        <v>3971</v>
      </c>
    </row>
    <row r="11" spans="2:22" x14ac:dyDescent="0.2">
      <c r="B11" s="26" t="s">
        <v>11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8">
        <f>Q10-Q8</f>
        <v>84</v>
      </c>
      <c r="R11" s="28">
        <f>R10-R8</f>
        <v>54</v>
      </c>
      <c r="S11" s="28">
        <f>S10-S8</f>
        <v>173</v>
      </c>
      <c r="T11" s="28">
        <f>T10-T8</f>
        <v>916</v>
      </c>
    </row>
    <row r="12" spans="2:22" x14ac:dyDescent="0.2">
      <c r="B12" s="20"/>
      <c r="D12" s="21"/>
    </row>
    <row r="13" spans="2:22" x14ac:dyDescent="0.2">
      <c r="B13" s="13" t="s">
        <v>12</v>
      </c>
      <c r="C13" s="14">
        <v>44841</v>
      </c>
      <c r="D13" s="14">
        <f>C13+3</f>
        <v>44844</v>
      </c>
      <c r="E13" s="14">
        <f>D13+1</f>
        <v>44845</v>
      </c>
      <c r="F13" s="14">
        <f>E13+1</f>
        <v>44846</v>
      </c>
      <c r="G13" s="14">
        <v>44851</v>
      </c>
      <c r="H13" s="14">
        <f>G13+1</f>
        <v>44852</v>
      </c>
      <c r="I13" s="14">
        <f>H13+1</f>
        <v>44853</v>
      </c>
      <c r="J13" s="14">
        <f>I13+2</f>
        <v>44855</v>
      </c>
      <c r="K13" s="14">
        <v>44865</v>
      </c>
      <c r="L13" s="14">
        <f>K13+1</f>
        <v>44866</v>
      </c>
      <c r="M13" s="14">
        <v>44872</v>
      </c>
      <c r="N13" s="14">
        <v>44886</v>
      </c>
      <c r="O13" s="14">
        <v>44893</v>
      </c>
      <c r="P13" s="14">
        <v>44895</v>
      </c>
      <c r="Q13" s="14">
        <v>44902</v>
      </c>
      <c r="R13" s="14">
        <v>44586</v>
      </c>
      <c r="S13" s="14">
        <v>44957</v>
      </c>
      <c r="T13" s="14">
        <v>44957</v>
      </c>
    </row>
    <row r="14" spans="2:22" x14ac:dyDescent="0.2">
      <c r="B14" s="15" t="s">
        <v>3</v>
      </c>
      <c r="C14" s="22">
        <f t="shared" ref="C14:F15" si="5">C4*1659</f>
        <v>2969610</v>
      </c>
      <c r="D14" s="22">
        <f t="shared" si="5"/>
        <v>3901968</v>
      </c>
      <c r="E14" s="22">
        <f t="shared" si="5"/>
        <v>4109343</v>
      </c>
      <c r="F14" s="22">
        <f t="shared" si="5"/>
        <v>3787497</v>
      </c>
      <c r="G14" s="22">
        <f t="shared" ref="G14:J15" si="6">G4*1744</f>
        <v>4175136</v>
      </c>
      <c r="H14" s="22">
        <f t="shared" si="6"/>
        <v>3814128</v>
      </c>
      <c r="I14" s="22">
        <f t="shared" si="6"/>
        <v>4468128</v>
      </c>
      <c r="J14" s="22">
        <f t="shared" si="6"/>
        <v>4665200</v>
      </c>
      <c r="K14" s="22">
        <f>K4*1711</f>
        <v>4250124</v>
      </c>
      <c r="L14" s="22">
        <f>L4*1711</f>
        <v>2385134</v>
      </c>
      <c r="M14" s="22">
        <f>M4*1711</f>
        <v>2785508</v>
      </c>
      <c r="N14" s="22">
        <f>+N4*2006</f>
        <v>4387122</v>
      </c>
      <c r="O14" s="22">
        <f>+O4*1994</f>
        <v>6225268</v>
      </c>
      <c r="P14" s="22">
        <f>+P4*2006</f>
        <v>5687010</v>
      </c>
      <c r="Q14" s="22">
        <f>+Q4*2002</f>
        <v>4310306</v>
      </c>
      <c r="R14" s="22">
        <f>+R4*1706</f>
        <v>3782202</v>
      </c>
      <c r="S14" s="22">
        <f>+S4*1706</f>
        <v>2837078</v>
      </c>
      <c r="T14" s="22">
        <f>+T4*1706</f>
        <v>2217800</v>
      </c>
      <c r="U14" s="12" t="s">
        <v>13</v>
      </c>
    </row>
    <row r="15" spans="2:22" x14ac:dyDescent="0.2">
      <c r="B15" s="15" t="s">
        <v>14</v>
      </c>
      <c r="C15" s="22">
        <f t="shared" si="5"/>
        <v>942312</v>
      </c>
      <c r="D15" s="22">
        <f t="shared" si="5"/>
        <v>925722</v>
      </c>
      <c r="E15" s="22">
        <f t="shared" si="5"/>
        <v>768117</v>
      </c>
      <c r="F15" s="22">
        <f t="shared" si="5"/>
        <v>1015308</v>
      </c>
      <c r="G15" s="22">
        <f t="shared" si="6"/>
        <v>2204416</v>
      </c>
      <c r="H15" s="22">
        <f t="shared" si="6"/>
        <v>2098032</v>
      </c>
      <c r="I15" s="22">
        <f t="shared" si="6"/>
        <v>1768416</v>
      </c>
      <c r="J15" s="22">
        <f t="shared" si="6"/>
        <v>1946304</v>
      </c>
      <c r="K15" s="22">
        <f>K5*1744</f>
        <v>1438800</v>
      </c>
      <c r="L15" s="22">
        <f>L5*1744</f>
        <v>1342880</v>
      </c>
      <c r="M15" s="22">
        <f>M5*1744</f>
        <v>1363808</v>
      </c>
      <c r="N15" s="22">
        <f>N5*2006</f>
        <v>1526566</v>
      </c>
      <c r="O15" s="22">
        <f>O5*1994</f>
        <v>1698888</v>
      </c>
      <c r="P15" s="22">
        <f>P5*2002</f>
        <v>2216214</v>
      </c>
      <c r="Q15" s="22">
        <f>Q5*2006</f>
        <v>1687046</v>
      </c>
      <c r="R15" s="22">
        <f>R5*1706</f>
        <v>912710</v>
      </c>
      <c r="S15" s="22">
        <f>S5*1706</f>
        <v>994598</v>
      </c>
      <c r="T15" s="22">
        <f>T5*1706</f>
        <v>946830</v>
      </c>
    </row>
    <row r="16" spans="2:22" x14ac:dyDescent="0.2">
      <c r="B16" s="15" t="s">
        <v>5</v>
      </c>
      <c r="C16" s="22">
        <v>682949</v>
      </c>
      <c r="D16" s="22">
        <v>1091229</v>
      </c>
      <c r="E16" s="22">
        <v>1115607</v>
      </c>
      <c r="F16" s="22">
        <v>593679</v>
      </c>
      <c r="G16" s="22">
        <v>820296</v>
      </c>
      <c r="H16" s="22">
        <v>379804</v>
      </c>
      <c r="I16" s="22">
        <v>379805</v>
      </c>
      <c r="J16" s="22">
        <v>1077870</v>
      </c>
      <c r="K16" s="22">
        <v>1192771</v>
      </c>
      <c r="L16" s="22">
        <v>858370</v>
      </c>
      <c r="M16" s="22">
        <v>1069845</v>
      </c>
      <c r="N16" s="22">
        <v>1065902.45</v>
      </c>
      <c r="O16" s="22">
        <v>669924</v>
      </c>
      <c r="P16" s="22">
        <v>908529</v>
      </c>
      <c r="Q16" s="22">
        <v>1236499</v>
      </c>
      <c r="R16" s="22">
        <f>R6*1704</f>
        <v>1463736</v>
      </c>
      <c r="S16" s="22">
        <v>1211536</v>
      </c>
      <c r="T16" s="22">
        <v>1010000</v>
      </c>
      <c r="U16" s="12" t="s">
        <v>15</v>
      </c>
    </row>
    <row r="17" spans="2:21" x14ac:dyDescent="0.2">
      <c r="B17" s="15" t="s">
        <v>6</v>
      </c>
      <c r="C17" s="22">
        <f t="shared" ref="C17:M17" si="7">C7*1744</f>
        <v>348800</v>
      </c>
      <c r="D17" s="22">
        <f t="shared" si="7"/>
        <v>348800</v>
      </c>
      <c r="E17" s="22">
        <f t="shared" si="7"/>
        <v>348800</v>
      </c>
      <c r="F17" s="22">
        <f t="shared" si="7"/>
        <v>348800</v>
      </c>
      <c r="G17" s="22">
        <f t="shared" si="7"/>
        <v>348800</v>
      </c>
      <c r="H17" s="22">
        <f t="shared" si="7"/>
        <v>348800</v>
      </c>
      <c r="I17" s="22">
        <f t="shared" si="7"/>
        <v>348800</v>
      </c>
      <c r="J17" s="22">
        <f t="shared" si="7"/>
        <v>828400</v>
      </c>
      <c r="K17" s="22">
        <f t="shared" si="7"/>
        <v>828400</v>
      </c>
      <c r="L17" s="22">
        <f t="shared" si="7"/>
        <v>1002800</v>
      </c>
      <c r="M17" s="22">
        <f t="shared" si="7"/>
        <v>945248</v>
      </c>
      <c r="N17" s="22">
        <f>N7*2006</f>
        <v>1913724</v>
      </c>
      <c r="O17" s="22">
        <f>O7*1994</f>
        <v>797600</v>
      </c>
      <c r="P17" s="22">
        <f>P7*2002</f>
        <v>1001000</v>
      </c>
      <c r="Q17" s="22">
        <f>Q7*2002</f>
        <v>1293292</v>
      </c>
      <c r="R17" s="22">
        <f>R7*2002</f>
        <v>1157156</v>
      </c>
      <c r="S17" s="22">
        <f>S7*2002</f>
        <v>1327326</v>
      </c>
      <c r="T17" s="22">
        <f>T7*2002</f>
        <v>1001000</v>
      </c>
    </row>
    <row r="18" spans="2:21" x14ac:dyDescent="0.2">
      <c r="B18" s="18" t="s">
        <v>8</v>
      </c>
      <c r="C18" s="23">
        <f>SUM(C14:C17)</f>
        <v>4943671</v>
      </c>
      <c r="D18" s="23">
        <f>SUM(D14:D17)</f>
        <v>6267719</v>
      </c>
      <c r="E18" s="23">
        <f>SUM(E14:E17)</f>
        <v>6341867</v>
      </c>
      <c r="F18" s="23">
        <f>SUM(F14:F17)</f>
        <v>5745284</v>
      </c>
      <c r="G18" s="23">
        <f>SUM(G14:G17)</f>
        <v>7548648</v>
      </c>
      <c r="H18" s="23">
        <f t="shared" ref="H18:M18" si="8">SUM(H14:H16)</f>
        <v>6291964</v>
      </c>
      <c r="I18" s="23">
        <f>SUM(I14:I16)</f>
        <v>6616349</v>
      </c>
      <c r="J18" s="23">
        <f t="shared" si="8"/>
        <v>7689374</v>
      </c>
      <c r="K18" s="23">
        <f t="shared" si="8"/>
        <v>6881695</v>
      </c>
      <c r="L18" s="23">
        <f t="shared" si="8"/>
        <v>4586384</v>
      </c>
      <c r="M18" s="23">
        <f t="shared" si="8"/>
        <v>5219161</v>
      </c>
      <c r="N18" s="23">
        <f t="shared" ref="N18:S18" si="9">SUM(N14:N17)</f>
        <v>8893314.4499999993</v>
      </c>
      <c r="O18" s="23">
        <f t="shared" si="9"/>
        <v>9391680</v>
      </c>
      <c r="P18" s="23">
        <f t="shared" si="9"/>
        <v>9812753</v>
      </c>
      <c r="Q18" s="23">
        <f t="shared" si="9"/>
        <v>8527143</v>
      </c>
      <c r="R18" s="23">
        <f t="shared" si="9"/>
        <v>7315804</v>
      </c>
      <c r="S18" s="23">
        <f t="shared" si="9"/>
        <v>6370538</v>
      </c>
      <c r="T18" s="23">
        <f t="shared" ref="T18" si="10">SUM(T14:T17)</f>
        <v>5175630</v>
      </c>
    </row>
    <row r="19" spans="2:21" x14ac:dyDescent="0.2">
      <c r="B19" s="18" t="s">
        <v>9</v>
      </c>
      <c r="C19" s="19"/>
      <c r="D19" s="19">
        <f t="shared" ref="D19:N19" si="11">D18-C18</f>
        <v>1324048</v>
      </c>
      <c r="E19" s="19">
        <f t="shared" si="11"/>
        <v>74148</v>
      </c>
      <c r="F19" s="19">
        <f t="shared" si="11"/>
        <v>-596583</v>
      </c>
      <c r="G19" s="19">
        <f t="shared" si="11"/>
        <v>1803364</v>
      </c>
      <c r="H19" s="19">
        <f t="shared" si="11"/>
        <v>-1256684</v>
      </c>
      <c r="I19" s="19">
        <f t="shared" si="11"/>
        <v>324385</v>
      </c>
      <c r="J19" s="19">
        <f t="shared" si="11"/>
        <v>1073025</v>
      </c>
      <c r="K19" s="19">
        <f t="shared" si="11"/>
        <v>-807679</v>
      </c>
      <c r="L19" s="19">
        <f t="shared" si="11"/>
        <v>-2295311</v>
      </c>
      <c r="M19" s="19">
        <f t="shared" si="11"/>
        <v>632777</v>
      </c>
      <c r="N19" s="19">
        <f t="shared" si="11"/>
        <v>3674153.4499999993</v>
      </c>
      <c r="O19" s="19">
        <f t="shared" ref="O19:T19" si="12">O18-N18</f>
        <v>498365.55000000075</v>
      </c>
      <c r="P19" s="19">
        <f t="shared" si="12"/>
        <v>421073</v>
      </c>
      <c r="Q19" s="19">
        <f t="shared" si="12"/>
        <v>-1285610</v>
      </c>
      <c r="R19" s="19">
        <f t="shared" si="12"/>
        <v>-1211339</v>
      </c>
      <c r="S19" s="19">
        <f t="shared" si="12"/>
        <v>-945266</v>
      </c>
      <c r="T19" s="19">
        <f t="shared" si="12"/>
        <v>-1194908</v>
      </c>
      <c r="U19" s="10">
        <f>2400*1700</f>
        <v>4080000</v>
      </c>
    </row>
    <row r="20" spans="2:21" x14ac:dyDescent="0.2">
      <c r="B20" s="24" t="s">
        <v>16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>
        <f>8679099-85072</f>
        <v>8594027</v>
      </c>
      <c r="R20" s="25">
        <v>7407736</v>
      </c>
      <c r="S20" s="25">
        <v>7009516</v>
      </c>
      <c r="T20" s="25">
        <v>7009516</v>
      </c>
    </row>
    <row r="21" spans="2:21" x14ac:dyDescent="0.2">
      <c r="B21" s="26" t="s">
        <v>11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8">
        <f>Q20-Q18</f>
        <v>66884</v>
      </c>
      <c r="R21" s="28">
        <f>R20-R18</f>
        <v>91932</v>
      </c>
      <c r="S21" s="28">
        <f>S20-S18</f>
        <v>638978</v>
      </c>
      <c r="T21" s="28">
        <f>T20-T18</f>
        <v>1833886</v>
      </c>
    </row>
    <row r="23" spans="2:21" x14ac:dyDescent="0.2">
      <c r="B23" s="24" t="s">
        <v>17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9">
        <f>Q10*2002</f>
        <v>8936928</v>
      </c>
      <c r="R23" s="29">
        <f>R10*2002</f>
        <v>8494486</v>
      </c>
      <c r="S23" s="29">
        <f>S10*2002</f>
        <v>7949942</v>
      </c>
      <c r="T23" s="29">
        <f>T10*2002</f>
        <v>7949942</v>
      </c>
    </row>
    <row r="24" spans="2:21" x14ac:dyDescent="0.2">
      <c r="B24" s="26" t="s">
        <v>18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30">
        <f>Q10*1704</f>
        <v>7606656</v>
      </c>
      <c r="R24" s="30">
        <f>R10*1704</f>
        <v>7230072</v>
      </c>
      <c r="S24" s="30">
        <f>S10*1704</f>
        <v>6766584</v>
      </c>
      <c r="T24" s="30">
        <f>T10*1704</f>
        <v>6766584</v>
      </c>
    </row>
    <row r="25" spans="2:21" x14ac:dyDescent="0.2">
      <c r="B25" s="24" t="s">
        <v>19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9">
        <f>Q23-Q24</f>
        <v>1330272</v>
      </c>
      <c r="R25" s="29">
        <f>R23-R24</f>
        <v>1264414</v>
      </c>
      <c r="S25" s="29">
        <f>S23-S24</f>
        <v>1183358</v>
      </c>
      <c r="T25" s="29">
        <f>T23-T24</f>
        <v>1183358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B5DE3-D3F9-4304-A0B1-BE94183DE5ED}">
  <sheetPr>
    <tabColor rgb="FF0070C0"/>
  </sheetPr>
  <dimension ref="A1:E62"/>
  <sheetViews>
    <sheetView showGridLines="0" zoomScale="115" zoomScaleNormal="115" workbookViewId="0">
      <selection activeCell="H13" sqref="H13"/>
    </sheetView>
  </sheetViews>
  <sheetFormatPr baseColWidth="10" defaultColWidth="8.83203125" defaultRowHeight="15" x14ac:dyDescent="0.2"/>
  <cols>
    <col min="1" max="1" width="28" style="10" customWidth="1"/>
    <col min="2" max="2" width="15.1640625" style="10" bestFit="1" customWidth="1"/>
    <col min="3" max="3" width="14.1640625" style="10" bestFit="1" customWidth="1"/>
    <col min="4" max="4" width="15.1640625" style="10" bestFit="1" customWidth="1"/>
    <col min="5" max="16384" width="8.83203125" style="10"/>
  </cols>
  <sheetData>
    <row r="1" spans="1:5" ht="21" x14ac:dyDescent="0.25">
      <c r="A1" s="93" t="s">
        <v>20</v>
      </c>
      <c r="B1" s="93"/>
      <c r="C1" s="93"/>
      <c r="D1" s="93"/>
      <c r="E1" s="93"/>
    </row>
    <row r="2" spans="1:5" ht="16" thickBot="1" x14ac:dyDescent="0.25"/>
    <row r="3" spans="1:5" x14ac:dyDescent="0.2">
      <c r="A3" s="31" t="s">
        <v>21</v>
      </c>
      <c r="B3" s="89" t="s">
        <v>22</v>
      </c>
      <c r="C3" s="90"/>
      <c r="D3" s="32"/>
      <c r="E3" s="33"/>
    </row>
    <row r="4" spans="1:5" x14ac:dyDescent="0.2">
      <c r="A4" s="34" t="s">
        <v>23</v>
      </c>
      <c r="B4" s="35" t="s">
        <v>24</v>
      </c>
      <c r="C4" s="36" t="s">
        <v>25</v>
      </c>
      <c r="D4" s="35" t="s">
        <v>26</v>
      </c>
      <c r="E4" s="36" t="s">
        <v>27</v>
      </c>
    </row>
    <row r="5" spans="1:5" x14ac:dyDescent="0.2">
      <c r="A5" s="37" t="s">
        <v>3</v>
      </c>
      <c r="B5" s="38">
        <v>3880365</v>
      </c>
      <c r="C5" s="39">
        <v>436324</v>
      </c>
      <c r="D5" s="38">
        <f t="shared" ref="D5:D10" si="0">SUM(B5:C5)</f>
        <v>4316689</v>
      </c>
      <c r="E5" s="40">
        <f t="shared" ref="E5:E10" si="1">D5/$D$21</f>
        <v>0.20846268818891933</v>
      </c>
    </row>
    <row r="6" spans="1:5" x14ac:dyDescent="0.2">
      <c r="A6" s="37" t="s">
        <v>5</v>
      </c>
      <c r="B6" s="38">
        <v>1236499</v>
      </c>
      <c r="C6" s="39">
        <v>165498</v>
      </c>
      <c r="D6" s="38">
        <f t="shared" si="0"/>
        <v>1401997</v>
      </c>
      <c r="E6" s="40">
        <f t="shared" si="1"/>
        <v>6.7705610353861564E-2</v>
      </c>
    </row>
    <row r="7" spans="1:5" x14ac:dyDescent="0.2">
      <c r="A7" s="37" t="s">
        <v>28</v>
      </c>
      <c r="B7" s="38">
        <v>1259653</v>
      </c>
      <c r="C7" s="39">
        <v>207661</v>
      </c>
      <c r="D7" s="38">
        <f t="shared" si="0"/>
        <v>1467314</v>
      </c>
      <c r="E7" s="40">
        <f t="shared" si="1"/>
        <v>7.0859916212920593E-2</v>
      </c>
    </row>
    <row r="8" spans="1:5" x14ac:dyDescent="0.2">
      <c r="A8" s="37" t="s">
        <v>29</v>
      </c>
      <c r="B8" s="38">
        <f>526*2004</f>
        <v>1054104</v>
      </c>
      <c r="C8" s="39">
        <v>187956</v>
      </c>
      <c r="D8" s="38">
        <f t="shared" si="0"/>
        <v>1242060</v>
      </c>
      <c r="E8" s="40">
        <f t="shared" si="1"/>
        <v>5.9981890400705069E-2</v>
      </c>
    </row>
    <row r="9" spans="1:5" x14ac:dyDescent="0.2">
      <c r="A9" s="37" t="s">
        <v>30</v>
      </c>
      <c r="B9" s="38">
        <f>112*2004</f>
        <v>224448</v>
      </c>
      <c r="C9" s="39">
        <v>21364</v>
      </c>
      <c r="D9" s="38">
        <f t="shared" si="0"/>
        <v>245812</v>
      </c>
      <c r="E9" s="40">
        <f t="shared" si="1"/>
        <v>1.1870818191696145E-2</v>
      </c>
    </row>
    <row r="10" spans="1:5" x14ac:dyDescent="0.2">
      <c r="A10" s="37" t="s">
        <v>31</v>
      </c>
      <c r="B10" s="38">
        <v>0</v>
      </c>
      <c r="C10" s="39">
        <v>9785</v>
      </c>
      <c r="D10" s="38">
        <f t="shared" si="0"/>
        <v>9785</v>
      </c>
      <c r="E10" s="72">
        <f t="shared" si="1"/>
        <v>4.7253981093578338E-4</v>
      </c>
    </row>
    <row r="11" spans="1:5" ht="16" thickBot="1" x14ac:dyDescent="0.25">
      <c r="A11" s="41" t="s">
        <v>26</v>
      </c>
      <c r="B11" s="42">
        <f>SUM(B5:B10)</f>
        <v>7655069</v>
      </c>
      <c r="C11" s="43">
        <f>SUM(C5:C10)</f>
        <v>1028588</v>
      </c>
      <c r="D11" s="42">
        <f>SUM(D5:D10)</f>
        <v>8683657</v>
      </c>
      <c r="E11" s="44"/>
    </row>
    <row r="12" spans="1:5" x14ac:dyDescent="0.2">
      <c r="A12" s="45"/>
      <c r="B12" s="46"/>
      <c r="C12" s="46"/>
      <c r="D12" s="46"/>
      <c r="E12" s="47"/>
    </row>
    <row r="13" spans="1:5" ht="16" thickBot="1" x14ac:dyDescent="0.25">
      <c r="A13" s="45"/>
      <c r="B13" s="46"/>
      <c r="C13" s="46"/>
      <c r="D13" s="46"/>
      <c r="E13" s="47"/>
    </row>
    <row r="14" spans="1:5" x14ac:dyDescent="0.2">
      <c r="A14" s="31" t="s">
        <v>32</v>
      </c>
      <c r="B14" s="89" t="s">
        <v>22</v>
      </c>
      <c r="C14" s="90"/>
      <c r="D14" s="48"/>
      <c r="E14" s="33"/>
    </row>
    <row r="15" spans="1:5" x14ac:dyDescent="0.2">
      <c r="A15" s="34" t="s">
        <v>23</v>
      </c>
      <c r="B15" s="35" t="s">
        <v>24</v>
      </c>
      <c r="C15" s="36" t="s">
        <v>25</v>
      </c>
      <c r="D15" s="35" t="s">
        <v>26</v>
      </c>
      <c r="E15" s="36" t="s">
        <v>27</v>
      </c>
    </row>
    <row r="16" spans="1:5" x14ac:dyDescent="0.2">
      <c r="A16" s="49" t="s">
        <v>33</v>
      </c>
      <c r="B16" s="50">
        <v>3836542</v>
      </c>
      <c r="C16" s="51">
        <f>176565+241564</f>
        <v>418129</v>
      </c>
      <c r="D16" s="50">
        <f>SUM(B16:C16)</f>
        <v>4254671</v>
      </c>
      <c r="E16" s="40">
        <f>D16/$D$21</f>
        <v>0.20546769851139093</v>
      </c>
    </row>
    <row r="17" spans="1:5" x14ac:dyDescent="0.2">
      <c r="A17" s="49" t="s">
        <v>34</v>
      </c>
      <c r="B17" s="50">
        <v>7644601</v>
      </c>
      <c r="C17" s="51">
        <v>0</v>
      </c>
      <c r="D17" s="50">
        <f>SUM(B17:C17)</f>
        <v>7644601</v>
      </c>
      <c r="E17" s="40">
        <f>D17/$D$21</f>
        <v>0.3691750956790496</v>
      </c>
    </row>
    <row r="18" spans="1:5" x14ac:dyDescent="0.2">
      <c r="A18" s="49" t="s">
        <v>35</v>
      </c>
      <c r="B18" s="50">
        <v>0</v>
      </c>
      <c r="C18" s="51">
        <v>124321</v>
      </c>
      <c r="D18" s="50">
        <f>SUM(B18:C18)</f>
        <v>124321</v>
      </c>
      <c r="E18" s="40">
        <f>D18/$D$21</f>
        <v>6.0037426505209525E-3</v>
      </c>
    </row>
    <row r="19" spans="1:5" ht="16" thickBot="1" x14ac:dyDescent="0.25">
      <c r="A19" s="41" t="s">
        <v>26</v>
      </c>
      <c r="B19" s="42">
        <f>SUM(B16:B18)</f>
        <v>11481143</v>
      </c>
      <c r="C19" s="43">
        <f>SUM(C16:C18)</f>
        <v>542450</v>
      </c>
      <c r="D19" s="42">
        <f>SUM(D16:D18)</f>
        <v>12023593</v>
      </c>
      <c r="E19" s="44"/>
    </row>
    <row r="20" spans="1:5" ht="16" thickBot="1" x14ac:dyDescent="0.25">
      <c r="A20" s="45"/>
      <c r="B20" s="52"/>
      <c r="C20" s="52"/>
      <c r="D20" s="52"/>
      <c r="E20" s="47"/>
    </row>
    <row r="21" spans="1:5" ht="16" thickBot="1" x14ac:dyDescent="0.25">
      <c r="A21" s="53" t="s">
        <v>36</v>
      </c>
      <c r="B21" s="54">
        <f>B11+B19</f>
        <v>19136212</v>
      </c>
      <c r="C21" s="54">
        <f>C11+C19</f>
        <v>1571038</v>
      </c>
      <c r="D21" s="54">
        <f>D11+D19</f>
        <v>20707250</v>
      </c>
      <c r="E21" s="55"/>
    </row>
    <row r="23" spans="1:5" ht="16" thickBot="1" x14ac:dyDescent="0.25"/>
    <row r="24" spans="1:5" x14ac:dyDescent="0.2">
      <c r="A24" s="56" t="s">
        <v>37</v>
      </c>
      <c r="B24" s="89" t="s">
        <v>22</v>
      </c>
      <c r="C24" s="90"/>
      <c r="D24" s="89"/>
      <c r="E24" s="90"/>
    </row>
    <row r="25" spans="1:5" x14ac:dyDescent="0.2">
      <c r="A25" s="35" t="s">
        <v>23</v>
      </c>
      <c r="B25" s="35" t="s">
        <v>24</v>
      </c>
      <c r="C25" s="36" t="s">
        <v>25</v>
      </c>
      <c r="D25" s="35" t="s">
        <v>26</v>
      </c>
      <c r="E25" s="36" t="s">
        <v>27</v>
      </c>
    </row>
    <row r="26" spans="1:5" x14ac:dyDescent="0.2">
      <c r="A26" s="45" t="s">
        <v>38</v>
      </c>
      <c r="B26" s="38">
        <v>694561</v>
      </c>
      <c r="C26" s="39">
        <v>17921</v>
      </c>
      <c r="D26" s="38">
        <f>SUM(B26:C26)</f>
        <v>712482</v>
      </c>
      <c r="E26" s="40">
        <f>D26/$D$39</f>
        <v>0.28915430881242848</v>
      </c>
    </row>
    <row r="27" spans="1:5" x14ac:dyDescent="0.2">
      <c r="A27" s="45" t="s">
        <v>30</v>
      </c>
      <c r="B27" s="38">
        <v>17616</v>
      </c>
      <c r="C27" s="39">
        <v>24164</v>
      </c>
      <c r="D27" s="38">
        <f>SUM(B27:C27)</f>
        <v>41780</v>
      </c>
      <c r="E27" s="40">
        <f>D27/$D$39</f>
        <v>1.6956031201045448E-2</v>
      </c>
    </row>
    <row r="28" spans="1:5" x14ac:dyDescent="0.2">
      <c r="A28" s="45" t="s">
        <v>31</v>
      </c>
      <c r="B28" s="38">
        <v>0</v>
      </c>
      <c r="C28" s="39">
        <v>0</v>
      </c>
      <c r="D28" s="38">
        <f>SUM(B28:C28)</f>
        <v>0</v>
      </c>
      <c r="E28" s="40">
        <f>D28/$D$39</f>
        <v>0</v>
      </c>
    </row>
    <row r="29" spans="1:5" ht="16" thickBot="1" x14ac:dyDescent="0.25">
      <c r="A29" s="35" t="s">
        <v>26</v>
      </c>
      <c r="B29" s="42">
        <f>SUM(B26:B28)</f>
        <v>712177</v>
      </c>
      <c r="C29" s="43">
        <f>SUM(C26:C28)</f>
        <v>42085</v>
      </c>
      <c r="D29" s="42">
        <f>SUM(D26:D28)</f>
        <v>754262</v>
      </c>
      <c r="E29" s="44"/>
    </row>
    <row r="30" spans="1:5" x14ac:dyDescent="0.2">
      <c r="A30" s="45"/>
      <c r="B30" s="46"/>
      <c r="C30" s="46"/>
      <c r="D30" s="46"/>
      <c r="E30" s="47"/>
    </row>
    <row r="31" spans="1:5" ht="16" thickBot="1" x14ac:dyDescent="0.25">
      <c r="A31" s="45"/>
      <c r="B31" s="46"/>
      <c r="C31" s="46"/>
      <c r="D31" s="46"/>
      <c r="E31" s="47"/>
    </row>
    <row r="32" spans="1:5" x14ac:dyDescent="0.2">
      <c r="A32" s="56" t="s">
        <v>39</v>
      </c>
      <c r="B32" s="94" t="s">
        <v>22</v>
      </c>
      <c r="C32" s="95"/>
      <c r="D32" s="96"/>
      <c r="E32" s="92"/>
    </row>
    <row r="33" spans="1:5" x14ac:dyDescent="0.2">
      <c r="A33" s="35" t="s">
        <v>23</v>
      </c>
      <c r="B33" s="35" t="s">
        <v>24</v>
      </c>
      <c r="C33" s="36" t="s">
        <v>25</v>
      </c>
      <c r="D33" s="57" t="s">
        <v>26</v>
      </c>
      <c r="E33" s="36" t="s">
        <v>27</v>
      </c>
    </row>
    <row r="34" spans="1:5" x14ac:dyDescent="0.2">
      <c r="A34" s="58" t="s">
        <v>34</v>
      </c>
      <c r="B34" s="50">
        <v>1311915</v>
      </c>
      <c r="C34" s="59">
        <v>0</v>
      </c>
      <c r="D34" s="52">
        <f>SUM(B34:C34)</f>
        <v>1311915</v>
      </c>
      <c r="E34" s="40">
        <f>D34/$D$39</f>
        <v>0.53242871405264569</v>
      </c>
    </row>
    <row r="35" spans="1:5" x14ac:dyDescent="0.2">
      <c r="A35" s="58" t="s">
        <v>33</v>
      </c>
      <c r="B35" s="50">
        <v>397843</v>
      </c>
      <c r="C35" s="59">
        <v>0</v>
      </c>
      <c r="D35" s="52">
        <f>SUM(B35:C35)</f>
        <v>397843</v>
      </c>
      <c r="E35" s="40">
        <f>D35/$D$37</f>
        <v>0.23268965549510515</v>
      </c>
    </row>
    <row r="36" spans="1:5" ht="16" thickBot="1" x14ac:dyDescent="0.25">
      <c r="A36" s="58" t="s">
        <v>35</v>
      </c>
      <c r="B36" s="60">
        <v>0</v>
      </c>
      <c r="C36" s="51">
        <v>0</v>
      </c>
      <c r="D36" s="52">
        <f>SUM(B36:C36)</f>
        <v>0</v>
      </c>
      <c r="E36" s="40">
        <f>D36/$D$37</f>
        <v>0</v>
      </c>
    </row>
    <row r="37" spans="1:5" ht="16" thickBot="1" x14ac:dyDescent="0.25">
      <c r="A37" s="61" t="s">
        <v>26</v>
      </c>
      <c r="B37" s="62">
        <f>SUM(B34:B36)</f>
        <v>1709758</v>
      </c>
      <c r="C37" s="62">
        <f>SUM(C34:C36)</f>
        <v>0</v>
      </c>
      <c r="D37" s="62">
        <f>SUM(D34:D36)</f>
        <v>1709758</v>
      </c>
      <c r="E37" s="63"/>
    </row>
    <row r="38" spans="1:5" ht="16" thickBot="1" x14ac:dyDescent="0.25">
      <c r="A38" s="45"/>
      <c r="B38" s="46"/>
      <c r="C38" s="46"/>
      <c r="D38" s="46"/>
      <c r="E38" s="47"/>
    </row>
    <row r="39" spans="1:5" ht="16" thickBot="1" x14ac:dyDescent="0.25">
      <c r="A39" s="53" t="s">
        <v>40</v>
      </c>
      <c r="B39" s="54">
        <f>B29+B37</f>
        <v>2421935</v>
      </c>
      <c r="C39" s="54">
        <f>C29+C37</f>
        <v>42085</v>
      </c>
      <c r="D39" s="54">
        <f>D29+D37</f>
        <v>2464020</v>
      </c>
      <c r="E39" s="55"/>
    </row>
    <row r="40" spans="1:5" x14ac:dyDescent="0.2">
      <c r="A40" s="73"/>
      <c r="B40" s="74"/>
      <c r="C40" s="74"/>
      <c r="D40" s="74"/>
      <c r="E40" s="75"/>
    </row>
    <row r="41" spans="1:5" ht="16" thickBot="1" x14ac:dyDescent="0.25"/>
    <row r="42" spans="1:5" x14ac:dyDescent="0.2">
      <c r="A42" s="56" t="s">
        <v>41</v>
      </c>
      <c r="B42" s="89" t="s">
        <v>22</v>
      </c>
      <c r="C42" s="90"/>
      <c r="D42" s="89"/>
      <c r="E42" s="90"/>
    </row>
    <row r="43" spans="1:5" x14ac:dyDescent="0.2">
      <c r="A43" s="35" t="s">
        <v>23</v>
      </c>
      <c r="B43" s="35" t="s">
        <v>24</v>
      </c>
      <c r="C43" s="36" t="s">
        <v>25</v>
      </c>
      <c r="D43" s="35" t="s">
        <v>26</v>
      </c>
      <c r="E43" s="36" t="s">
        <v>27</v>
      </c>
    </row>
    <row r="44" spans="1:5" x14ac:dyDescent="0.2">
      <c r="A44" s="45" t="s">
        <v>38</v>
      </c>
      <c r="B44" s="38">
        <v>1065987</v>
      </c>
      <c r="C44" s="39">
        <v>0</v>
      </c>
      <c r="D44" s="38">
        <f>SUM(B44:C44)</f>
        <v>1065987</v>
      </c>
      <c r="E44" s="40">
        <f>D44/$D$29</f>
        <v>1.4132847737258407</v>
      </c>
    </row>
    <row r="45" spans="1:5" x14ac:dyDescent="0.2">
      <c r="A45" s="45" t="s">
        <v>30</v>
      </c>
      <c r="B45" s="38">
        <v>31265</v>
      </c>
      <c r="C45" s="39">
        <v>0</v>
      </c>
      <c r="D45" s="38">
        <f>SUM(B45:C45)</f>
        <v>31265</v>
      </c>
      <c r="E45" s="40">
        <f>D45/$D$11</f>
        <v>3.6004416111783317E-3</v>
      </c>
    </row>
    <row r="46" spans="1:5" x14ac:dyDescent="0.2">
      <c r="A46" s="45" t="s">
        <v>31</v>
      </c>
      <c r="B46" s="38">
        <v>116542</v>
      </c>
      <c r="C46" s="39">
        <v>29521</v>
      </c>
      <c r="D46" s="38">
        <f>SUM(B46:C46)</f>
        <v>146063</v>
      </c>
      <c r="E46" s="40">
        <f>D46/$D$11</f>
        <v>1.6820447882729593E-2</v>
      </c>
    </row>
    <row r="47" spans="1:5" ht="16" thickBot="1" x14ac:dyDescent="0.25">
      <c r="A47" s="35" t="s">
        <v>26</v>
      </c>
      <c r="B47" s="42">
        <f>SUM(B44:B46)</f>
        <v>1213794</v>
      </c>
      <c r="C47" s="43">
        <f>SUM(C44:C46)</f>
        <v>29521</v>
      </c>
      <c r="D47" s="42">
        <f>SUM(D44:D46)</f>
        <v>1243315</v>
      </c>
      <c r="E47" s="44"/>
    </row>
    <row r="48" spans="1:5" x14ac:dyDescent="0.2">
      <c r="A48" s="45"/>
      <c r="B48" s="46"/>
      <c r="C48" s="46"/>
      <c r="D48" s="46"/>
      <c r="E48" s="47"/>
    </row>
    <row r="49" spans="1:5" ht="17" customHeight="1" thickBot="1" x14ac:dyDescent="0.25">
      <c r="A49" s="45"/>
      <c r="B49" s="46"/>
      <c r="C49" s="46"/>
      <c r="D49" s="46"/>
      <c r="E49" s="47"/>
    </row>
    <row r="50" spans="1:5" x14ac:dyDescent="0.2">
      <c r="A50" s="56" t="s">
        <v>42</v>
      </c>
      <c r="B50" s="89" t="s">
        <v>22</v>
      </c>
      <c r="C50" s="90"/>
      <c r="D50" s="91"/>
      <c r="E50" s="92"/>
    </row>
    <row r="51" spans="1:5" x14ac:dyDescent="0.2">
      <c r="A51" s="34" t="s">
        <v>23</v>
      </c>
      <c r="B51" s="35" t="s">
        <v>24</v>
      </c>
      <c r="C51" s="36" t="s">
        <v>25</v>
      </c>
      <c r="D51" s="35" t="s">
        <v>26</v>
      </c>
      <c r="E51" s="36" t="s">
        <v>27</v>
      </c>
    </row>
    <row r="52" spans="1:5" x14ac:dyDescent="0.2">
      <c r="A52" s="58" t="s">
        <v>34</v>
      </c>
      <c r="B52" s="38">
        <v>167125</v>
      </c>
      <c r="C52" s="39">
        <v>0</v>
      </c>
      <c r="D52" s="52">
        <f>SUM(B52:C52)</f>
        <v>167125</v>
      </c>
      <c r="E52" s="40">
        <f>D52/$D$37</f>
        <v>9.7747751436168165E-2</v>
      </c>
    </row>
    <row r="53" spans="1:5" x14ac:dyDescent="0.2">
      <c r="A53" s="58" t="s">
        <v>33</v>
      </c>
      <c r="B53" s="38">
        <v>93610</v>
      </c>
      <c r="C53" s="39">
        <v>0</v>
      </c>
      <c r="D53" s="52">
        <f>SUM(B53:C53)</f>
        <v>93610</v>
      </c>
      <c r="E53" s="40">
        <f>D53/$D$37</f>
        <v>5.4750438366131346E-2</v>
      </c>
    </row>
    <row r="54" spans="1:5" x14ac:dyDescent="0.2">
      <c r="A54" s="58" t="s">
        <v>35</v>
      </c>
      <c r="B54" s="38">
        <v>0</v>
      </c>
      <c r="C54" s="39">
        <v>22351</v>
      </c>
      <c r="D54" s="52">
        <f>SUM(B54:C54)</f>
        <v>22351</v>
      </c>
      <c r="E54" s="40">
        <f>D54/$D$37</f>
        <v>1.3072610275840207E-2</v>
      </c>
    </row>
    <row r="55" spans="1:5" ht="16" thickBot="1" x14ac:dyDescent="0.25">
      <c r="A55" s="41" t="s">
        <v>26</v>
      </c>
      <c r="B55" s="42">
        <f>SUM(B52:B54)</f>
        <v>260735</v>
      </c>
      <c r="C55" s="43">
        <f>SUM(C52:C54)</f>
        <v>22351</v>
      </c>
      <c r="D55" s="64">
        <f>SUM(D52:D54)</f>
        <v>283086</v>
      </c>
      <c r="E55" s="44"/>
    </row>
    <row r="56" spans="1:5" ht="16" thickBot="1" x14ac:dyDescent="0.25">
      <c r="A56" s="45"/>
      <c r="B56" s="46"/>
      <c r="C56" s="46"/>
      <c r="D56" s="46"/>
      <c r="E56" s="47"/>
    </row>
    <row r="57" spans="1:5" ht="16" thickBot="1" x14ac:dyDescent="0.25">
      <c r="A57" s="53" t="s">
        <v>43</v>
      </c>
      <c r="B57" s="54">
        <f>B47+B55</f>
        <v>1474529</v>
      </c>
      <c r="C57" s="54">
        <f>C47+C55</f>
        <v>51872</v>
      </c>
      <c r="D57" s="54">
        <f>D47+D55</f>
        <v>1526401</v>
      </c>
      <c r="E57" s="55"/>
    </row>
    <row r="59" spans="1:5" ht="16" thickBot="1" x14ac:dyDescent="0.25">
      <c r="E59" s="46"/>
    </row>
    <row r="60" spans="1:5" x14ac:dyDescent="0.2">
      <c r="A60" s="65"/>
      <c r="B60" s="66" t="s">
        <v>44</v>
      </c>
      <c r="C60" s="66" t="s">
        <v>45</v>
      </c>
      <c r="D60" s="67" t="s">
        <v>8</v>
      </c>
      <c r="E60" s="68"/>
    </row>
    <row r="61" spans="1:5" ht="16" thickBot="1" x14ac:dyDescent="0.25">
      <c r="A61" s="69" t="s">
        <v>26</v>
      </c>
      <c r="B61" s="70">
        <f>B57+B39+B21</f>
        <v>23032676</v>
      </c>
      <c r="C61" s="70">
        <f>C57+C39+C21</f>
        <v>1664995</v>
      </c>
      <c r="D61" s="71">
        <f>D57+D39+D21</f>
        <v>24697671</v>
      </c>
      <c r="E61" s="68"/>
    </row>
    <row r="62" spans="1:5" x14ac:dyDescent="0.2">
      <c r="E62" s="46"/>
    </row>
  </sheetData>
  <mergeCells count="11">
    <mergeCell ref="B42:C42"/>
    <mergeCell ref="D42:E42"/>
    <mergeCell ref="B50:C50"/>
    <mergeCell ref="D50:E50"/>
    <mergeCell ref="A1:E1"/>
    <mergeCell ref="B3:C3"/>
    <mergeCell ref="B14:C14"/>
    <mergeCell ref="B24:C24"/>
    <mergeCell ref="D24:E24"/>
    <mergeCell ref="B32:C32"/>
    <mergeCell ref="D32:E32"/>
  </mergeCells>
  <pageMargins left="0.8333333333333333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A6721-48E0-4FF2-ADA2-F6433F704152}">
  <sheetPr>
    <tabColor theme="7" tint="0.79998168889431442"/>
  </sheetPr>
  <dimension ref="A3:L44"/>
  <sheetViews>
    <sheetView workbookViewId="0">
      <selection activeCell="A2" sqref="A2:XFD2"/>
    </sheetView>
  </sheetViews>
  <sheetFormatPr baseColWidth="10" defaultColWidth="8.83203125" defaultRowHeight="15" x14ac:dyDescent="0.2"/>
  <cols>
    <col min="1" max="8" width="14.1640625" bestFit="1" customWidth="1"/>
    <col min="9" max="9" width="12.33203125" bestFit="1" customWidth="1"/>
    <col min="10" max="10" width="14.1640625" bestFit="1" customWidth="1"/>
    <col min="11" max="11" width="15.5" bestFit="1" customWidth="1"/>
  </cols>
  <sheetData>
    <row r="3" spans="1:12" x14ac:dyDescent="0.2"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8</v>
      </c>
    </row>
    <row r="4" spans="1:12" x14ac:dyDescent="0.2">
      <c r="A4" t="s">
        <v>55</v>
      </c>
      <c r="B4" s="7">
        <v>11158</v>
      </c>
      <c r="C4" s="7">
        <v>4236</v>
      </c>
      <c r="D4" s="7">
        <v>1341</v>
      </c>
      <c r="E4" s="7">
        <v>594</v>
      </c>
      <c r="F4" s="7">
        <v>302</v>
      </c>
      <c r="G4" s="7">
        <v>193</v>
      </c>
      <c r="H4" s="7">
        <v>145</v>
      </c>
      <c r="I4" s="7">
        <v>75</v>
      </c>
      <c r="J4" s="7">
        <v>145</v>
      </c>
      <c r="K4" s="7">
        <f>SUM(B4:J4)</f>
        <v>18189</v>
      </c>
    </row>
    <row r="7" spans="1:12" x14ac:dyDescent="0.2">
      <c r="B7" t="str">
        <f>B3</f>
        <v>0-30</v>
      </c>
      <c r="C7" t="str">
        <f t="shared" ref="C7:K7" si="0">C3</f>
        <v>31-60</v>
      </c>
      <c r="D7" t="str">
        <f t="shared" si="0"/>
        <v>61-90</v>
      </c>
      <c r="E7" t="str">
        <f t="shared" si="0"/>
        <v>91-120</v>
      </c>
      <c r="F7" t="str">
        <f t="shared" si="0"/>
        <v>121-150</v>
      </c>
      <c r="G7" t="str">
        <f t="shared" si="0"/>
        <v>151-180</v>
      </c>
      <c r="H7" t="str">
        <f t="shared" si="0"/>
        <v>181-210</v>
      </c>
      <c r="I7" t="str">
        <f t="shared" si="0"/>
        <v>211-240</v>
      </c>
      <c r="J7" t="str">
        <f t="shared" si="0"/>
        <v>241+</v>
      </c>
      <c r="K7" t="str">
        <f t="shared" si="0"/>
        <v>Total</v>
      </c>
    </row>
    <row r="8" spans="1:12" x14ac:dyDescent="0.2">
      <c r="A8" t="s">
        <v>56</v>
      </c>
      <c r="B8" s="7">
        <v>1246</v>
      </c>
      <c r="C8" s="7">
        <v>4940</v>
      </c>
      <c r="D8" s="7">
        <v>1545</v>
      </c>
      <c r="E8" s="7">
        <v>604</v>
      </c>
      <c r="F8" s="7">
        <v>396</v>
      </c>
      <c r="G8" s="7">
        <v>288</v>
      </c>
      <c r="H8" s="7">
        <v>166</v>
      </c>
      <c r="I8" s="7">
        <v>122</v>
      </c>
      <c r="J8" s="78">
        <v>595</v>
      </c>
      <c r="K8" s="82">
        <f>SUM(B8:J8)</f>
        <v>9902</v>
      </c>
    </row>
    <row r="9" spans="1:12" x14ac:dyDescent="0.2">
      <c r="B9" s="6">
        <f>B8/K8</f>
        <v>0.12583316501716824</v>
      </c>
      <c r="C9" s="6">
        <f>C8/K8</f>
        <v>0.49888911331044233</v>
      </c>
      <c r="D9" s="6">
        <f>D8/K8</f>
        <v>0.1560290850333266</v>
      </c>
      <c r="E9" s="6">
        <f>E8/K8</f>
        <v>6.0997778226620884E-2</v>
      </c>
      <c r="F9" s="6">
        <f>F8/K8</f>
        <v>3.9991920824075947E-2</v>
      </c>
      <c r="G9" s="6">
        <f>G8/K8</f>
        <v>2.9085033326600687E-2</v>
      </c>
      <c r="H9" s="6">
        <f>H8/K8</f>
        <v>1.6764290042415673E-2</v>
      </c>
      <c r="I9" s="6">
        <f>I8/K8</f>
        <v>1.2320743284185013E-2</v>
      </c>
      <c r="J9" s="6">
        <f>J8/K8</f>
        <v>6.0088870935164615E-2</v>
      </c>
    </row>
    <row r="10" spans="1:12" x14ac:dyDescent="0.2">
      <c r="B10" s="77"/>
      <c r="C10" s="77"/>
      <c r="D10" s="77"/>
      <c r="E10" s="77"/>
      <c r="F10" s="77"/>
      <c r="G10" s="77"/>
      <c r="H10" s="77"/>
      <c r="I10" s="77"/>
      <c r="J10" s="77"/>
      <c r="L10" s="77"/>
    </row>
    <row r="11" spans="1:12" x14ac:dyDescent="0.2">
      <c r="B11" s="87" t="str">
        <f t="shared" ref="B11:J11" si="1">B3</f>
        <v>0-30</v>
      </c>
      <c r="C11" s="87" t="str">
        <f t="shared" si="1"/>
        <v>31-60</v>
      </c>
      <c r="D11" s="87" t="str">
        <f t="shared" si="1"/>
        <v>61-90</v>
      </c>
      <c r="E11" s="87" t="str">
        <f t="shared" si="1"/>
        <v>91-120</v>
      </c>
      <c r="F11" s="87" t="str">
        <f t="shared" si="1"/>
        <v>121-150</v>
      </c>
      <c r="G11" s="87" t="str">
        <f t="shared" si="1"/>
        <v>151-180</v>
      </c>
      <c r="H11" s="87" t="str">
        <f t="shared" si="1"/>
        <v>181-210</v>
      </c>
      <c r="I11" s="87" t="str">
        <f t="shared" si="1"/>
        <v>211-240</v>
      </c>
      <c r="J11" s="87" t="str">
        <f t="shared" si="1"/>
        <v>241+</v>
      </c>
      <c r="K11" t="str">
        <f t="shared" ref="K11" si="2">K7</f>
        <v>Total</v>
      </c>
    </row>
    <row r="12" spans="1:12" x14ac:dyDescent="0.2">
      <c r="A12" t="s">
        <v>57</v>
      </c>
      <c r="B12" s="86">
        <f>B4+B8</f>
        <v>12404</v>
      </c>
      <c r="C12" s="86">
        <f t="shared" ref="C12:J12" si="3">C4+C8</f>
        <v>9176</v>
      </c>
      <c r="D12" s="86">
        <f t="shared" si="3"/>
        <v>2886</v>
      </c>
      <c r="E12" s="86">
        <f t="shared" si="3"/>
        <v>1198</v>
      </c>
      <c r="F12" s="86">
        <f t="shared" si="3"/>
        <v>698</v>
      </c>
      <c r="G12" s="86">
        <f t="shared" si="3"/>
        <v>481</v>
      </c>
      <c r="H12" s="86">
        <f t="shared" si="3"/>
        <v>311</v>
      </c>
      <c r="I12" s="86">
        <f t="shared" si="3"/>
        <v>197</v>
      </c>
      <c r="J12" s="86">
        <f t="shared" si="3"/>
        <v>740</v>
      </c>
      <c r="K12" s="82">
        <f>K4+K8</f>
        <v>28091</v>
      </c>
    </row>
    <row r="15" spans="1:12" x14ac:dyDescent="0.2">
      <c r="K15" s="8"/>
      <c r="L15" s="8"/>
    </row>
    <row r="43" spans="11:11" x14ac:dyDescent="0.2">
      <c r="K43" s="83"/>
    </row>
    <row r="44" spans="11:11" x14ac:dyDescent="0.2">
      <c r="K44" s="84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8D7C-C37C-417F-9B77-F380EEA0BB72}">
  <sheetPr>
    <tabColor theme="7" tint="0.79998168889431442"/>
  </sheetPr>
  <dimension ref="A3:AP17"/>
  <sheetViews>
    <sheetView zoomScale="80" zoomScaleNormal="80" workbookViewId="0">
      <pane xSplit="1" topLeftCell="AA1" activePane="topRight" state="frozen"/>
      <selection pane="topRight" activeCell="AO15" sqref="AO15:AO17"/>
    </sheetView>
  </sheetViews>
  <sheetFormatPr baseColWidth="10" defaultColWidth="8.83203125" defaultRowHeight="15" x14ac:dyDescent="0.2"/>
  <cols>
    <col min="1" max="1" width="10.1640625" bestFit="1" customWidth="1"/>
    <col min="2" max="3" width="14.1640625" hidden="1" customWidth="1"/>
    <col min="4" max="5" width="12.33203125" hidden="1" customWidth="1"/>
    <col min="6" max="6" width="11.1640625" hidden="1" customWidth="1"/>
    <col min="7" max="7" width="12.33203125" hidden="1" customWidth="1"/>
    <col min="8" max="9" width="11" hidden="1" customWidth="1"/>
    <col min="10" max="10" width="12.33203125" hidden="1" customWidth="1"/>
    <col min="11" max="11" width="13.83203125" hidden="1" customWidth="1"/>
    <col min="12" max="12" width="11.5" hidden="1" customWidth="1"/>
    <col min="13" max="13" width="13.6640625" hidden="1" customWidth="1"/>
    <col min="14" max="14" width="12.33203125" hidden="1" customWidth="1"/>
    <col min="15" max="15" width="13.83203125" hidden="1" customWidth="1"/>
    <col min="16" max="16" width="12.33203125" hidden="1" customWidth="1"/>
    <col min="17" max="17" width="13.6640625" hidden="1" customWidth="1"/>
    <col min="18" max="18" width="12" hidden="1" customWidth="1"/>
    <col min="19" max="20" width="14.33203125" hidden="1" customWidth="1"/>
    <col min="21" max="21" width="15.33203125" hidden="1" customWidth="1"/>
    <col min="22" max="23" width="13.83203125" hidden="1" customWidth="1"/>
    <col min="24" max="26" width="14.83203125" hidden="1" customWidth="1"/>
    <col min="27" max="30" width="14.83203125" customWidth="1"/>
    <col min="31" max="33" width="14.83203125" bestFit="1" customWidth="1"/>
    <col min="34" max="34" width="15.6640625" bestFit="1" customWidth="1"/>
    <col min="35" max="35" width="16.83203125" bestFit="1" customWidth="1"/>
    <col min="36" max="36" width="15.6640625" bestFit="1" customWidth="1"/>
    <col min="37" max="37" width="12.33203125" bestFit="1" customWidth="1"/>
    <col min="38" max="38" width="14.83203125" bestFit="1" customWidth="1"/>
    <col min="39" max="39" width="15.83203125" bestFit="1" customWidth="1"/>
    <col min="40" max="41" width="12.1640625" bestFit="1" customWidth="1"/>
  </cols>
  <sheetData>
    <row r="3" spans="1:42" s="3" customFormat="1" x14ac:dyDescent="0.2">
      <c r="B3" s="3" t="s">
        <v>58</v>
      </c>
      <c r="C3" s="3" t="s">
        <v>59</v>
      </c>
      <c r="D3" s="3" t="s">
        <v>60</v>
      </c>
      <c r="E3" s="3" t="s">
        <v>61</v>
      </c>
      <c r="F3" s="3" t="s">
        <v>62</v>
      </c>
      <c r="G3" s="3" t="s">
        <v>63</v>
      </c>
      <c r="H3" s="3" t="s">
        <v>64</v>
      </c>
      <c r="I3" s="3" t="s">
        <v>65</v>
      </c>
      <c r="J3" s="3" t="s">
        <v>66</v>
      </c>
      <c r="K3" s="3" t="s">
        <v>67</v>
      </c>
      <c r="L3" s="3" t="s">
        <v>68</v>
      </c>
      <c r="M3" s="3" t="s">
        <v>69</v>
      </c>
      <c r="N3" s="3" t="s">
        <v>58</v>
      </c>
      <c r="O3" s="3" t="s">
        <v>59</v>
      </c>
      <c r="P3" s="3" t="s">
        <v>60</v>
      </c>
      <c r="Q3" s="3" t="s">
        <v>61</v>
      </c>
      <c r="R3" s="3" t="s">
        <v>62</v>
      </c>
      <c r="S3" s="3" t="s">
        <v>63</v>
      </c>
      <c r="T3" s="3" t="s">
        <v>68</v>
      </c>
      <c r="U3" s="3" t="s">
        <v>69</v>
      </c>
      <c r="V3" s="3" t="s">
        <v>59</v>
      </c>
      <c r="W3" s="3" t="s">
        <v>60</v>
      </c>
      <c r="X3" s="3" t="s">
        <v>61</v>
      </c>
      <c r="Y3" s="3" t="s">
        <v>62</v>
      </c>
      <c r="Z3" s="3" t="s">
        <v>63</v>
      </c>
      <c r="AA3" s="3" t="s">
        <v>64</v>
      </c>
      <c r="AB3" s="3" t="s">
        <v>70</v>
      </c>
      <c r="AC3" s="3" t="s">
        <v>66</v>
      </c>
      <c r="AD3" s="3" t="s">
        <v>67</v>
      </c>
      <c r="AE3" s="3" t="s">
        <v>68</v>
      </c>
      <c r="AF3" s="3" t="s">
        <v>69</v>
      </c>
      <c r="AG3" s="3" t="s">
        <v>58</v>
      </c>
      <c r="AH3" s="3" t="s">
        <v>59</v>
      </c>
      <c r="AI3" s="3" t="s">
        <v>60</v>
      </c>
      <c r="AJ3" s="3" t="s">
        <v>61</v>
      </c>
      <c r="AK3" s="3" t="s">
        <v>62</v>
      </c>
      <c r="AL3" s="3" t="s">
        <v>63</v>
      </c>
      <c r="AM3" s="3" t="s">
        <v>64</v>
      </c>
      <c r="AN3" s="3" t="s">
        <v>70</v>
      </c>
      <c r="AO3" s="3" t="s">
        <v>66</v>
      </c>
    </row>
    <row r="4" spans="1:42" s="3" customFormat="1" x14ac:dyDescent="0.2">
      <c r="A4" s="3" t="s">
        <v>71</v>
      </c>
      <c r="B4" s="5">
        <f t="shared" ref="B4:I4" si="0">SUM(B5:B7)</f>
        <v>7495793.2999999998</v>
      </c>
      <c r="C4" s="5">
        <f t="shared" si="0"/>
        <v>9458392</v>
      </c>
      <c r="D4" s="5">
        <f t="shared" si="0"/>
        <v>9140359.0199999996</v>
      </c>
      <c r="E4" s="5">
        <f t="shared" si="0"/>
        <v>10844371</v>
      </c>
      <c r="F4" s="5">
        <f t="shared" si="0"/>
        <v>7520404.7300000004</v>
      </c>
      <c r="G4" s="5">
        <f t="shared" si="0"/>
        <v>8949063.5600000117</v>
      </c>
      <c r="H4" s="5">
        <f t="shared" si="0"/>
        <v>9656130</v>
      </c>
      <c r="I4" s="5">
        <f t="shared" si="0"/>
        <v>7789683.3299999963</v>
      </c>
      <c r="J4" s="5">
        <f t="shared" ref="J4" si="1">SUM(J5:J7)</f>
        <v>10259812.810000028</v>
      </c>
      <c r="K4" s="79">
        <f>SUM(K5:K7)</f>
        <v>9046209</v>
      </c>
      <c r="L4" s="79">
        <f>SUM(L5:L7)</f>
        <v>8543547.7499999925</v>
      </c>
      <c r="M4" s="79">
        <v>9880199.1699999999</v>
      </c>
      <c r="N4" s="79">
        <v>8300895</v>
      </c>
      <c r="O4" s="79">
        <v>8950269</v>
      </c>
      <c r="P4" s="79">
        <v>9579174</v>
      </c>
      <c r="Q4" s="79">
        <v>8767358</v>
      </c>
      <c r="R4" s="80">
        <v>10084119</v>
      </c>
      <c r="S4" s="4">
        <v>9286279</v>
      </c>
      <c r="T4" s="80">
        <v>11736194</v>
      </c>
      <c r="U4" s="80">
        <v>11380236</v>
      </c>
      <c r="V4" s="80">
        <v>11951766</v>
      </c>
      <c r="W4" s="80">
        <v>10257010</v>
      </c>
      <c r="X4" s="80">
        <v>11472829</v>
      </c>
      <c r="Y4" s="80">
        <v>10747781</v>
      </c>
      <c r="Z4" s="80">
        <v>10124401.390000001</v>
      </c>
      <c r="AA4" s="80">
        <v>10901407</v>
      </c>
      <c r="AB4" s="80">
        <v>12089521.32</v>
      </c>
      <c r="AC4" s="80">
        <v>12777009</v>
      </c>
      <c r="AD4" s="80">
        <v>11770171.16</v>
      </c>
      <c r="AE4" s="80">
        <v>12605729.810000001</v>
      </c>
      <c r="AF4" s="80">
        <v>11279606</v>
      </c>
      <c r="AG4" s="80">
        <v>11631449</v>
      </c>
      <c r="AH4" s="80">
        <v>12541416.15</v>
      </c>
      <c r="AI4" s="80">
        <v>10339136</v>
      </c>
      <c r="AJ4" s="80">
        <v>12618144</v>
      </c>
      <c r="AK4" s="80">
        <v>10362774</v>
      </c>
      <c r="AL4" s="4">
        <v>10835774.51</v>
      </c>
      <c r="AM4" s="80">
        <v>12036505</v>
      </c>
      <c r="AN4" s="80">
        <v>12498716</v>
      </c>
      <c r="AO4" s="80">
        <v>11925887.210000001</v>
      </c>
    </row>
    <row r="5" spans="1:42" s="3" customFormat="1" x14ac:dyDescent="0.2">
      <c r="A5" s="3" t="s">
        <v>72</v>
      </c>
      <c r="B5" s="80">
        <v>5667863</v>
      </c>
      <c r="C5" s="5">
        <v>6402111</v>
      </c>
      <c r="D5" s="5">
        <v>6960437.0200000005</v>
      </c>
      <c r="E5" s="5">
        <v>8297437</v>
      </c>
      <c r="F5" s="5">
        <v>5562672.25</v>
      </c>
      <c r="G5" s="5">
        <v>6774755.3500000117</v>
      </c>
      <c r="H5" s="5">
        <v>7062143</v>
      </c>
      <c r="I5" s="5">
        <v>5541651.3299999963</v>
      </c>
      <c r="J5" s="79">
        <v>7540302.6300000297</v>
      </c>
      <c r="K5" s="79">
        <v>6245896</v>
      </c>
      <c r="L5" s="5">
        <v>6203653.9899999946</v>
      </c>
      <c r="M5" s="5">
        <v>7193385.3799999999</v>
      </c>
      <c r="N5" s="5">
        <v>6000343</v>
      </c>
      <c r="O5" s="5">
        <v>6489990</v>
      </c>
      <c r="P5" s="5">
        <v>6519798</v>
      </c>
      <c r="Q5" s="5">
        <v>6221035</v>
      </c>
      <c r="R5" s="80">
        <v>6909126</v>
      </c>
      <c r="S5" s="4">
        <v>5863711</v>
      </c>
      <c r="T5" s="80">
        <v>7345591</v>
      </c>
      <c r="U5" s="80">
        <v>6947346</v>
      </c>
      <c r="V5" s="80">
        <v>7598885</v>
      </c>
      <c r="W5" s="80">
        <v>6452295</v>
      </c>
      <c r="X5" s="80">
        <v>7318416</v>
      </c>
      <c r="Y5" s="80">
        <v>6511303</v>
      </c>
      <c r="Z5" s="80">
        <v>6271821.0899999999</v>
      </c>
      <c r="AA5" s="80">
        <v>6883775</v>
      </c>
      <c r="AB5" s="80">
        <v>7701461.7000000002</v>
      </c>
      <c r="AC5" s="80">
        <v>7705108</v>
      </c>
      <c r="AD5" s="80">
        <v>7541224.54</v>
      </c>
      <c r="AE5" s="80">
        <v>7389502.2800000003</v>
      </c>
      <c r="AF5" s="80">
        <v>6780894.2699999996</v>
      </c>
      <c r="AG5" s="80">
        <v>7001133</v>
      </c>
      <c r="AH5" s="80">
        <v>6835239.6699999999</v>
      </c>
      <c r="AI5" s="80">
        <v>5695993</v>
      </c>
      <c r="AJ5" s="80">
        <v>7794509</v>
      </c>
      <c r="AK5" s="80">
        <v>6220551.3200000003</v>
      </c>
      <c r="AL5" s="4">
        <v>6375750.04</v>
      </c>
      <c r="AM5" s="80">
        <v>7533850</v>
      </c>
      <c r="AN5" s="80">
        <v>6921148</v>
      </c>
      <c r="AO5" s="80">
        <v>6872157.7000000002</v>
      </c>
      <c r="AP5" s="81">
        <f>AO5/AO4</f>
        <v>0.57623869645837444</v>
      </c>
    </row>
    <row r="6" spans="1:42" s="3" customFormat="1" x14ac:dyDescent="0.2">
      <c r="A6" s="3" t="s">
        <v>73</v>
      </c>
      <c r="B6" s="80">
        <v>768393.30000000016</v>
      </c>
      <c r="C6" s="5">
        <v>2029294</v>
      </c>
      <c r="D6" s="5">
        <v>1168691</v>
      </c>
      <c r="E6" s="5">
        <v>1343211</v>
      </c>
      <c r="F6" s="5">
        <v>1040863.41</v>
      </c>
      <c r="G6" s="5">
        <v>1364904.2100000002</v>
      </c>
      <c r="H6" s="5">
        <v>1482889</v>
      </c>
      <c r="I6" s="5">
        <v>1246511</v>
      </c>
      <c r="J6" s="79">
        <v>1636025.1799999985</v>
      </c>
      <c r="K6" s="79">
        <v>1674622</v>
      </c>
      <c r="L6" s="5">
        <v>1536332.129999999</v>
      </c>
      <c r="M6" s="5">
        <v>1433563.1</v>
      </c>
      <c r="N6" s="5">
        <v>1222012</v>
      </c>
      <c r="O6" s="5">
        <v>1507716</v>
      </c>
      <c r="P6" s="5">
        <v>1800084</v>
      </c>
      <c r="Q6" s="5">
        <v>1456472</v>
      </c>
      <c r="R6" s="80">
        <v>1777915</v>
      </c>
      <c r="S6" s="4">
        <v>1722363</v>
      </c>
      <c r="T6" s="80">
        <v>2193512</v>
      </c>
      <c r="U6" s="80">
        <v>2154725</v>
      </c>
      <c r="V6" s="80">
        <v>1964068</v>
      </c>
      <c r="W6" s="80">
        <v>1703544</v>
      </c>
      <c r="X6" s="80">
        <v>1654139</v>
      </c>
      <c r="Y6" s="80">
        <v>2021673</v>
      </c>
      <c r="Z6" s="80">
        <v>1722113.99</v>
      </c>
      <c r="AA6" s="80">
        <v>1718180</v>
      </c>
      <c r="AB6" s="80">
        <v>2094999.71</v>
      </c>
      <c r="AC6" s="80">
        <v>1956511</v>
      </c>
      <c r="AD6" s="80">
        <v>1824994.38</v>
      </c>
      <c r="AE6" s="80">
        <v>2089774.91</v>
      </c>
      <c r="AF6" s="80">
        <v>1954889.82</v>
      </c>
      <c r="AG6" s="80">
        <v>1856007</v>
      </c>
      <c r="AH6" s="80">
        <v>2170233.83</v>
      </c>
      <c r="AI6" s="80">
        <v>1720194</v>
      </c>
      <c r="AJ6" s="80">
        <v>1990994</v>
      </c>
      <c r="AK6" s="80">
        <v>1711736</v>
      </c>
      <c r="AL6" s="4">
        <v>1853002.17</v>
      </c>
      <c r="AM6" s="80">
        <v>1848118</v>
      </c>
      <c r="AN6" s="80">
        <v>2079247.75</v>
      </c>
      <c r="AO6" s="80">
        <v>2164478.62</v>
      </c>
      <c r="AP6" s="81">
        <f>AO6/AO4</f>
        <v>0.18149413807847006</v>
      </c>
    </row>
    <row r="7" spans="1:42" s="3" customFormat="1" x14ac:dyDescent="0.2">
      <c r="A7" s="3" t="s">
        <v>74</v>
      </c>
      <c r="B7" s="80">
        <v>1059537</v>
      </c>
      <c r="C7" s="5">
        <v>1026987</v>
      </c>
      <c r="D7" s="5">
        <v>1011231</v>
      </c>
      <c r="E7" s="5">
        <v>1203723</v>
      </c>
      <c r="F7" s="5">
        <v>916869.07</v>
      </c>
      <c r="G7" s="5">
        <v>809404</v>
      </c>
      <c r="H7" s="5">
        <v>1111098</v>
      </c>
      <c r="I7" s="5">
        <v>1001521</v>
      </c>
      <c r="J7" s="5">
        <v>1083485</v>
      </c>
      <c r="K7" s="79">
        <v>1125691</v>
      </c>
      <c r="L7" s="80">
        <v>803561.62999999989</v>
      </c>
      <c r="M7" s="80">
        <v>1253250.69</v>
      </c>
      <c r="N7" s="80">
        <v>1078538</v>
      </c>
      <c r="O7" s="80">
        <v>952561</v>
      </c>
      <c r="P7" s="80">
        <v>1259292</v>
      </c>
      <c r="Q7" s="80">
        <v>1089850</v>
      </c>
      <c r="R7" s="80">
        <v>1397078</v>
      </c>
      <c r="S7" s="4">
        <v>1700203</v>
      </c>
      <c r="T7" s="80">
        <v>2197092</v>
      </c>
      <c r="U7" s="80">
        <v>2278165</v>
      </c>
      <c r="V7" s="80">
        <v>2388813</v>
      </c>
      <c r="W7" s="80">
        <v>2101171</v>
      </c>
      <c r="X7" s="80">
        <v>2500272</v>
      </c>
      <c r="Y7" s="80">
        <v>2214804</v>
      </c>
      <c r="Z7" s="80">
        <v>2130466</v>
      </c>
      <c r="AA7" s="80">
        <v>2299452</v>
      </c>
      <c r="AB7" s="80">
        <v>2293059.91</v>
      </c>
      <c r="AC7" s="80">
        <v>3115350</v>
      </c>
      <c r="AD7" s="80">
        <v>2403952.2400000002</v>
      </c>
      <c r="AE7" s="80">
        <v>3126452.62</v>
      </c>
      <c r="AF7" s="80">
        <v>2543822</v>
      </c>
      <c r="AG7" s="80">
        <v>2774308</v>
      </c>
      <c r="AH7" s="80">
        <v>3535942.65</v>
      </c>
      <c r="AI7" s="80">
        <v>2922947</v>
      </c>
      <c r="AJ7" s="80">
        <v>2832639</v>
      </c>
      <c r="AK7" s="80">
        <v>2430486</v>
      </c>
      <c r="AL7" s="4">
        <v>2607052.2999999998</v>
      </c>
      <c r="AM7" s="80">
        <v>2654537</v>
      </c>
      <c r="AN7" s="80">
        <v>3498320</v>
      </c>
      <c r="AO7" s="80">
        <v>2889250.89</v>
      </c>
      <c r="AP7" s="81">
        <f>AO7/AO4</f>
        <v>0.24226716546315549</v>
      </c>
    </row>
    <row r="10" spans="1:42" x14ac:dyDescent="0.2"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</row>
    <row r="11" spans="1:42" x14ac:dyDescent="0.2"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42" x14ac:dyDescent="0.2"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6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42" x14ac:dyDescent="0.2">
      <c r="AB13" s="88">
        <v>45748</v>
      </c>
      <c r="AC13" s="88">
        <v>45779</v>
      </c>
      <c r="AD13" s="88">
        <v>45809</v>
      </c>
      <c r="AE13" s="88">
        <v>45840</v>
      </c>
      <c r="AF13" s="88">
        <v>45872</v>
      </c>
      <c r="AG13" s="88">
        <v>45901</v>
      </c>
      <c r="AH13" s="88">
        <v>45931</v>
      </c>
      <c r="AI13" s="88">
        <v>45962</v>
      </c>
      <c r="AJ13" s="88">
        <v>45993</v>
      </c>
      <c r="AK13" s="88">
        <v>46023</v>
      </c>
      <c r="AL13" s="88">
        <v>46054</v>
      </c>
      <c r="AM13" s="88">
        <v>46082</v>
      </c>
      <c r="AN13" s="88">
        <v>46113</v>
      </c>
      <c r="AO13" s="88">
        <v>46143</v>
      </c>
    </row>
    <row r="14" spans="1:42" x14ac:dyDescent="0.2">
      <c r="AA14" s="83" t="str">
        <f>A4</f>
        <v>All</v>
      </c>
      <c r="AB14" s="85">
        <f t="shared" ref="AB14:AO14" si="2">AB4/1000</f>
        <v>12089.52132</v>
      </c>
      <c r="AC14" s="85">
        <f t="shared" si="2"/>
        <v>12777.009</v>
      </c>
      <c r="AD14" s="85">
        <f t="shared" si="2"/>
        <v>11770.17116</v>
      </c>
      <c r="AE14" s="85">
        <f t="shared" si="2"/>
        <v>12605.729810000001</v>
      </c>
      <c r="AF14" s="85">
        <f t="shared" si="2"/>
        <v>11279.606</v>
      </c>
      <c r="AG14" s="85">
        <f t="shared" si="2"/>
        <v>11631.449000000001</v>
      </c>
      <c r="AH14" s="85">
        <f t="shared" si="2"/>
        <v>12541.416150000001</v>
      </c>
      <c r="AI14" s="85">
        <f t="shared" si="2"/>
        <v>10339.136</v>
      </c>
      <c r="AJ14" s="85">
        <f t="shared" si="2"/>
        <v>12618.144</v>
      </c>
      <c r="AK14" s="85">
        <f t="shared" si="2"/>
        <v>10362.773999999999</v>
      </c>
      <c r="AL14" s="85">
        <f t="shared" si="2"/>
        <v>10835.774509999999</v>
      </c>
      <c r="AM14" s="85">
        <f t="shared" si="2"/>
        <v>12036.504999999999</v>
      </c>
      <c r="AN14" s="85">
        <f t="shared" si="2"/>
        <v>12498.716</v>
      </c>
      <c r="AO14" s="85">
        <f t="shared" si="2"/>
        <v>11925.887210000001</v>
      </c>
    </row>
    <row r="15" spans="1:42" x14ac:dyDescent="0.2">
      <c r="AA15" s="83" t="str">
        <f>A5</f>
        <v>Palmetto</v>
      </c>
      <c r="AB15" s="85">
        <f t="shared" ref="AB15:AO15" si="3">AB5/1000</f>
        <v>7701.4616999999998</v>
      </c>
      <c r="AC15" s="85">
        <f t="shared" si="3"/>
        <v>7705.1080000000002</v>
      </c>
      <c r="AD15" s="85">
        <f t="shared" si="3"/>
        <v>7541.2245400000002</v>
      </c>
      <c r="AE15" s="85">
        <f t="shared" si="3"/>
        <v>7389.5022800000006</v>
      </c>
      <c r="AF15" s="85">
        <f t="shared" si="3"/>
        <v>6780.8942699999998</v>
      </c>
      <c r="AG15" s="85">
        <f t="shared" si="3"/>
        <v>7001.1329999999998</v>
      </c>
      <c r="AH15" s="85">
        <f t="shared" si="3"/>
        <v>6835.2396699999999</v>
      </c>
      <c r="AI15" s="85">
        <f t="shared" si="3"/>
        <v>5695.9930000000004</v>
      </c>
      <c r="AJ15" s="85">
        <f t="shared" si="3"/>
        <v>7794.509</v>
      </c>
      <c r="AK15" s="85">
        <f t="shared" si="3"/>
        <v>6220.5513200000005</v>
      </c>
      <c r="AL15" s="85">
        <f t="shared" si="3"/>
        <v>6375.7500399999999</v>
      </c>
      <c r="AM15" s="85">
        <f t="shared" si="3"/>
        <v>7533.85</v>
      </c>
      <c r="AN15" s="85">
        <f t="shared" si="3"/>
        <v>6921.1480000000001</v>
      </c>
      <c r="AO15" s="85">
        <f t="shared" si="3"/>
        <v>6872.1576999999997</v>
      </c>
    </row>
    <row r="16" spans="1:42" x14ac:dyDescent="0.2">
      <c r="AA16" s="83" t="str">
        <f>A6</f>
        <v>Advantage</v>
      </c>
      <c r="AB16" s="85">
        <f t="shared" ref="AB16:AO16" si="4">AB6/1000</f>
        <v>2094.9997100000001</v>
      </c>
      <c r="AC16" s="85">
        <f t="shared" si="4"/>
        <v>1956.511</v>
      </c>
      <c r="AD16" s="85">
        <f t="shared" si="4"/>
        <v>1824.9943799999999</v>
      </c>
      <c r="AE16" s="85">
        <f t="shared" si="4"/>
        <v>2089.7749100000001</v>
      </c>
      <c r="AF16" s="85">
        <f t="shared" si="4"/>
        <v>1954.8898200000001</v>
      </c>
      <c r="AG16" s="85">
        <f t="shared" si="4"/>
        <v>1856.0070000000001</v>
      </c>
      <c r="AH16" s="85">
        <f t="shared" si="4"/>
        <v>2170.2338300000001</v>
      </c>
      <c r="AI16" s="85">
        <f t="shared" si="4"/>
        <v>1720.194</v>
      </c>
      <c r="AJ16" s="85">
        <f t="shared" si="4"/>
        <v>1990.9939999999999</v>
      </c>
      <c r="AK16" s="85">
        <f t="shared" si="4"/>
        <v>1711.7360000000001</v>
      </c>
      <c r="AL16" s="85">
        <f t="shared" si="4"/>
        <v>1853.00217</v>
      </c>
      <c r="AM16" s="85">
        <f t="shared" si="4"/>
        <v>1848.1179999999999</v>
      </c>
      <c r="AN16" s="85">
        <f t="shared" si="4"/>
        <v>2079.24775</v>
      </c>
      <c r="AO16" s="85">
        <f t="shared" si="4"/>
        <v>2164.4786200000003</v>
      </c>
    </row>
    <row r="17" spans="27:41" x14ac:dyDescent="0.2">
      <c r="AA17" s="83" t="str">
        <f>A7</f>
        <v>Other</v>
      </c>
      <c r="AB17" s="85">
        <f t="shared" ref="AB17:AO17" si="5">AB7/1000</f>
        <v>2293.0599099999999</v>
      </c>
      <c r="AC17" s="85">
        <f t="shared" si="5"/>
        <v>3115.35</v>
      </c>
      <c r="AD17" s="85">
        <f t="shared" si="5"/>
        <v>2403.9522400000001</v>
      </c>
      <c r="AE17" s="85">
        <f t="shared" si="5"/>
        <v>3126.45262</v>
      </c>
      <c r="AF17" s="85">
        <f t="shared" si="5"/>
        <v>2543.8220000000001</v>
      </c>
      <c r="AG17" s="85">
        <f t="shared" si="5"/>
        <v>2774.308</v>
      </c>
      <c r="AH17" s="85">
        <f t="shared" si="5"/>
        <v>3535.94265</v>
      </c>
      <c r="AI17" s="85">
        <f t="shared" si="5"/>
        <v>2922.9470000000001</v>
      </c>
      <c r="AJ17" s="85">
        <f t="shared" si="5"/>
        <v>2832.6390000000001</v>
      </c>
      <c r="AK17" s="85">
        <f t="shared" si="5"/>
        <v>2430.4859999999999</v>
      </c>
      <c r="AL17" s="85">
        <f t="shared" si="5"/>
        <v>2607.0522999999998</v>
      </c>
      <c r="AM17" s="85">
        <f t="shared" si="5"/>
        <v>2654.5369999999998</v>
      </c>
      <c r="AN17" s="85">
        <f t="shared" si="5"/>
        <v>3498.32</v>
      </c>
      <c r="AO17" s="85">
        <f t="shared" si="5"/>
        <v>2889.2508900000003</v>
      </c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00F1D-5875-4615-A59D-47C701035025}">
  <sheetPr>
    <tabColor theme="7" tint="0.79998168889431442"/>
  </sheetPr>
  <dimension ref="A3:B6"/>
  <sheetViews>
    <sheetView tabSelected="1" workbookViewId="0">
      <selection activeCell="M18" sqref="M18"/>
    </sheetView>
  </sheetViews>
  <sheetFormatPr baseColWidth="10" defaultColWidth="8.83203125" defaultRowHeight="15" x14ac:dyDescent="0.2"/>
  <cols>
    <col min="1" max="1" width="24.33203125" bestFit="1" customWidth="1"/>
  </cols>
  <sheetData>
    <row r="3" spans="1:2" x14ac:dyDescent="0.2">
      <c r="A3" t="s">
        <v>77</v>
      </c>
      <c r="B3" t="s">
        <v>78</v>
      </c>
    </row>
    <row r="4" spans="1:2" x14ac:dyDescent="0.2">
      <c r="A4" s="1" t="s">
        <v>75</v>
      </c>
      <c r="B4" s="6">
        <f>'Cash Collected'!AP5</f>
        <v>0.57623869645837444</v>
      </c>
    </row>
    <row r="5" spans="1:2" x14ac:dyDescent="0.2">
      <c r="A5" s="1" t="s">
        <v>76</v>
      </c>
      <c r="B5" s="6">
        <f>'Cash Collected'!AP6</f>
        <v>0.18149413807847006</v>
      </c>
    </row>
    <row r="6" spans="1:2" x14ac:dyDescent="0.2">
      <c r="A6" s="1" t="s">
        <v>79</v>
      </c>
      <c r="B6" s="6">
        <f>'Cash Collected'!AP7</f>
        <v>0.24226716546315549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2411a1-6c41-4886-8190-24902c0af7d8" xsi:nil="true"/>
    <lcf76f155ced4ddcb4097134ff3c332f xmlns="540b1b3a-a05c-445a-83d5-43a6f5df671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A799171ABF0C4BAD436AB9331EBDF6" ma:contentTypeVersion="15" ma:contentTypeDescription="Create a new document." ma:contentTypeScope="" ma:versionID="d859747c11cd41ff94463adf93b08778">
  <xsd:schema xmlns:xsd="http://www.w3.org/2001/XMLSchema" xmlns:xs="http://www.w3.org/2001/XMLSchema" xmlns:p="http://schemas.microsoft.com/office/2006/metadata/properties" xmlns:ns2="182411a1-6c41-4886-8190-24902c0af7d8" xmlns:ns3="540b1b3a-a05c-445a-83d5-43a6f5df671e" targetNamespace="http://schemas.microsoft.com/office/2006/metadata/properties" ma:root="true" ma:fieldsID="0006596ed6b4978477b489b185ee2433" ns2:_="" ns3:_="">
    <xsd:import namespace="182411a1-6c41-4886-8190-24902c0af7d8"/>
    <xsd:import namespace="540b1b3a-a05c-445a-83d5-43a6f5df671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2411a1-6c41-4886-8190-24902c0af7d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08f98778-4a9c-4b89-a114-db85ebcf9e0f}" ma:internalName="TaxCatchAll" ma:showField="CatchAllData" ma:web="182411a1-6c41-4886-8190-24902c0af7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0b1b3a-a05c-445a-83d5-43a6f5df67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735b193-06ca-409a-8990-3b2cbd503d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02249F-2DAC-4202-9209-FBFD1E9E525F}">
  <ds:schemaRefs>
    <ds:schemaRef ds:uri="http://schemas.microsoft.com/office/2006/metadata/properties"/>
    <ds:schemaRef ds:uri="http://schemas.microsoft.com/office/infopath/2007/PartnerControls"/>
    <ds:schemaRef ds:uri="182411a1-6c41-4886-8190-24902c0af7d8"/>
    <ds:schemaRef ds:uri="540b1b3a-a05c-445a-83d5-43a6f5df671e"/>
  </ds:schemaRefs>
</ds:datastoreItem>
</file>

<file path=customXml/itemProps2.xml><?xml version="1.0" encoding="utf-8"?>
<ds:datastoreItem xmlns:ds="http://schemas.openxmlformats.org/officeDocument/2006/customXml" ds:itemID="{8B61A179-9E5D-4350-90E9-3E15CEB692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2411a1-6c41-4886-8190-24902c0af7d8"/>
    <ds:schemaRef ds:uri="540b1b3a-a05c-445a-83d5-43a6f5df67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4E8A2F-D198-4EE1-92A4-B1EA4BC3BC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Palmetto Dashboard</vt:lpstr>
      <vt:lpstr>AR Dashboard</vt:lpstr>
      <vt:lpstr>AR Aging</vt:lpstr>
      <vt:lpstr>Cash Collected</vt:lpstr>
      <vt:lpstr>Collections by Payer Type</vt:lpstr>
      <vt:lpstr>'AR Dashboard'!Print_Area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Benjamin</dc:creator>
  <cp:keywords/>
  <dc:description/>
  <cp:lastModifiedBy>Donald Londgren</cp:lastModifiedBy>
  <cp:revision/>
  <dcterms:created xsi:type="dcterms:W3CDTF">2021-10-13T18:52:05Z</dcterms:created>
  <dcterms:modified xsi:type="dcterms:W3CDTF">2026-06-10T17:02:33Z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0x01010055A799171ABF0C4BAD436AB9331EBDF6</vt:lpwstr>
  </property>
  <property fmtid="{D5CDD505-2E9C-101B-9397-08002B2CF9AE}" pid="3" name="MediaServiceImageTags">
    <vt:lpwstr/>
  </property>
</Properties>
</file>